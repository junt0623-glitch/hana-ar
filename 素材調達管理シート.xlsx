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花材調達一覧" sheetId="1" state="visible" r:id="rId1"/>
    <sheet name="進捗サマリー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BIZ UDPGothic"/>
      <charset val="1"/>
      <family val="0"/>
      <b val="1"/>
      <color rgb="FFFFFFFF"/>
      <sz val="11"/>
    </font>
    <font>
      <name val="Noto Sans CJK SC"/>
      <charset val="1"/>
      <family val="2"/>
      <b val="1"/>
      <color rgb="FFFFFFFF"/>
      <sz val="11"/>
    </font>
    <font>
      <name val="BIZ UDPGothic"/>
      <charset val="1"/>
      <family val="0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Noto Sans CJK SC"/>
      <charset val="1"/>
      <family val="2"/>
      <b val="1"/>
      <sz val="14"/>
    </font>
    <font>
      <name val="Noto Sans CJK SC"/>
      <charset val="1"/>
      <family val="2"/>
      <b val="1"/>
      <sz val="11"/>
    </font>
    <font>
      <name val="Noto Sans CJK SC"/>
      <charset val="1"/>
      <family val="2"/>
      <color rgb="FF777777"/>
      <sz val="10"/>
    </font>
  </fonts>
  <fills count="7">
    <fill>
      <patternFill/>
    </fill>
    <fill>
      <patternFill patternType="gray125"/>
    </fill>
    <fill>
      <patternFill patternType="solid">
        <fgColor rgb="FF4F6B5C"/>
        <bgColor rgb="FF777777"/>
      </patternFill>
    </fill>
    <fill>
      <patternFill patternType="solid">
        <fgColor rgb="FFE3EFE8"/>
        <bgColor rgb="FFF0F0D8"/>
      </patternFill>
    </fill>
    <fill>
      <patternFill patternType="solid">
        <fgColor rgb="FFEAE6F5"/>
        <bgColor rgb="FFE3EFE8"/>
      </patternFill>
    </fill>
    <fill>
      <patternFill patternType="solid">
        <fgColor rgb="FFF0F0D8"/>
        <bgColor rgb="FFF5E9DE"/>
      </patternFill>
    </fill>
    <fill>
      <patternFill patternType="solid">
        <fgColor rgb="FFF5E9DE"/>
        <bgColor rgb="FFF0F0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0F0D8"/>
      <rgbColor rgb="FFE3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6F5"/>
      <rgbColor rgb="FFF5E9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B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9" min="1" max="1"/>
    <col width="16" customWidth="1" style="19" min="2" max="2"/>
    <col width="6" customWidth="1" style="19" min="3" max="3"/>
    <col width="16" customWidth="1" style="19" min="4" max="4"/>
    <col width="14" customWidth="1" style="19" min="5" max="5"/>
    <col width="9" customWidth="1" style="19" min="6" max="6"/>
    <col width="12" customWidth="1" style="19" min="7" max="7"/>
    <col width="10" customWidth="1" style="19" min="8" max="8"/>
    <col width="16" customWidth="1" style="19" min="9" max="10"/>
    <col width="18" customWidth="1" style="19" min="11" max="11"/>
    <col width="24" customWidth="1" style="19" min="12" max="12"/>
    <col width="22" customWidth="1" style="19" min="13" max="13"/>
  </cols>
  <sheetData>
    <row r="1" ht="31.5" customHeight="1" s="20">
      <c r="A1" s="21" t="inlineStr">
        <is>
          <t>ID</t>
        </is>
      </c>
      <c r="B1" s="22" t="inlineStr">
        <is>
          <t>花材名</t>
        </is>
      </c>
      <c r="C1" s="22" t="inlineStr">
        <is>
          <t>季節</t>
        </is>
      </c>
      <c r="D1" s="22" t="inlineStr">
        <is>
          <t>様式</t>
        </is>
      </c>
      <c r="E1" s="22" t="inlineStr">
        <is>
          <t>対応口径</t>
        </is>
      </c>
      <c r="F1" s="22" t="inlineStr">
        <is>
          <t>調達区分</t>
        </is>
      </c>
      <c r="G1" s="22" t="inlineStr">
        <is>
          <t>状態</t>
        </is>
      </c>
      <c r="H1" s="22" t="inlineStr">
        <is>
          <t>担当</t>
        </is>
      </c>
      <c r="I1" s="22" t="inlineStr">
        <is>
          <t>ライセンス確認(②のみ)</t>
        </is>
      </c>
      <c r="J1" s="22" t="inlineStr">
        <is>
          <t>考証チェック(③のみ)</t>
        </is>
      </c>
      <c r="K1" s="22" t="inlineStr">
        <is>
          <t>クレジット表記</t>
        </is>
      </c>
      <c r="L1" s="22" t="inlineStr">
        <is>
          <t>ファイル名</t>
        </is>
      </c>
      <c r="M1" s="22" t="inlineStr">
        <is>
          <t>備考</t>
        </is>
      </c>
    </row>
    <row r="2" ht="19.5" customHeight="1" s="20">
      <c r="A2" s="23" t="inlineStr">
        <is>
          <t>F001</t>
        </is>
      </c>
      <c r="B2" s="24" t="inlineStr">
        <is>
          <t>梅（残春）</t>
        </is>
      </c>
      <c r="C2" s="25" t="inlineStr">
        <is>
          <t>春</t>
        </is>
      </c>
      <c r="D2" s="24" t="inlineStr">
        <is>
          <t>文人花・草</t>
        </is>
      </c>
      <c r="E2" s="23" t="inlineStr">
        <is>
          <t>narrow</t>
        </is>
      </c>
      <c r="F2" s="26" t="inlineStr">
        <is>
          <t>①</t>
        </is>
      </c>
      <c r="G2" s="25" t="inlineStr">
        <is>
          <t>切り抜き済</t>
        </is>
      </c>
      <c r="H2" s="24" t="n"/>
      <c r="I2" s="27" t="n"/>
      <c r="J2" s="27" t="n"/>
      <c r="K2" s="24" t="inlineStr">
        <is>
          <t>AI生成（Canva AI）暫定</t>
        </is>
      </c>
      <c r="L2" s="24" t="inlineStr">
        <is>
          <t>spring-bunjin-ume-zanshun.webp</t>
        </is>
      </c>
      <c r="M2" s="24" t="inlineStr">
        <is>
          <t>時期不可なら③で補完 ／ AI生成プロンプト作成済(参考用／AI生成花材_プロンプト集.md参照) ／ 2026-07-15 AI生成の暫定素材をhana-ar.htmlに登録（本調達①②の素材が届き次第差し替え・学芸員考証チェック待ち）</t>
        </is>
      </c>
    </row>
    <row r="3" ht="19.5" customHeight="1" s="20">
      <c r="A3" s="23" t="inlineStr">
        <is>
          <t>F002</t>
        </is>
      </c>
      <c r="B3" s="24" t="inlineStr">
        <is>
          <t>海棠</t>
        </is>
      </c>
      <c r="C3" s="25" t="inlineStr">
        <is>
          <t>春</t>
        </is>
      </c>
      <c r="D3" s="24" t="inlineStr">
        <is>
          <t>文人花・行</t>
        </is>
      </c>
      <c r="E3" s="23" t="inlineStr">
        <is>
          <t>narrow/medium</t>
        </is>
      </c>
      <c r="F3" s="26" t="inlineStr">
        <is>
          <t>①</t>
        </is>
      </c>
      <c r="G3" s="25" t="inlineStr">
        <is>
          <t>切り抜き済</t>
        </is>
      </c>
      <c r="H3" s="24" t="n"/>
      <c r="I3" s="27" t="n"/>
      <c r="J3" s="27" t="n"/>
      <c r="K3" s="24" t="inlineStr">
        <is>
          <t>AI生成（Canva AI）暫定</t>
        </is>
      </c>
      <c r="L3" s="24" t="inlineStr">
        <is>
          <t>spring-bunjin-kaido.webp</t>
        </is>
      </c>
      <c r="M3" s="24" t="inlineStr">
        <is>
          <t>時期不可なら③で補完 ／ AI生成プロンプト作成済(参考用／AI生成花材_プロンプト集.md参照) ／ 2026-07-15 AI生成の暫定素材をhana-ar.htmlに登録（本調達①②の素材が届き次第差し替え・学芸員考証チェック待ち）</t>
        </is>
      </c>
    </row>
    <row r="4" ht="19.5" customHeight="1" s="20">
      <c r="A4" s="23" t="inlineStr">
        <is>
          <t>F003</t>
        </is>
      </c>
      <c r="B4" s="24" t="inlineStr">
        <is>
          <t>蘭</t>
        </is>
      </c>
      <c r="C4" s="25" t="inlineStr">
        <is>
          <t>春</t>
        </is>
      </c>
      <c r="D4" s="24" t="inlineStr">
        <is>
          <t>文人花</t>
        </is>
      </c>
      <c r="E4" s="23" t="inlineStr">
        <is>
          <t>narrow</t>
        </is>
      </c>
      <c r="F4" s="26" t="inlineStr">
        <is>
          <t>①</t>
        </is>
      </c>
      <c r="G4" s="25" t="inlineStr">
        <is>
          <t>切り抜き済</t>
        </is>
      </c>
      <c r="H4" s="24" t="n"/>
      <c r="I4" s="27" t="n"/>
      <c r="J4" s="27" t="n"/>
      <c r="K4" s="24" t="inlineStr">
        <is>
          <t>AI生成（Canva AI）暫定</t>
        </is>
      </c>
      <c r="L4" s="24" t="inlineStr">
        <is>
          <t>spring-bunjin-ran.webp</t>
        </is>
      </c>
      <c r="M4" s="24" t="inlineStr">
        <is>
          <t>AI生成プロンプト作成済(参考用／AI生成花材_プロンプト集.md参照) ／ 2026-07-15 AI生成の暫定素材をhana-ar.htmlに登録（本調達①②の素材が届き次第差し替え・学芸員考証チェック待ち）</t>
        </is>
      </c>
    </row>
    <row r="5" ht="19.5" customHeight="1" s="20">
      <c r="A5" s="23" t="inlineStr">
        <is>
          <t>F004</t>
        </is>
      </c>
      <c r="B5" s="24" t="inlineStr">
        <is>
          <t>桃</t>
        </is>
      </c>
      <c r="C5" s="25" t="inlineStr">
        <is>
          <t>春</t>
        </is>
      </c>
      <c r="D5" s="24" t="inlineStr">
        <is>
          <t>行・草</t>
        </is>
      </c>
      <c r="E5" s="23" t="inlineStr">
        <is>
          <t>narrow/medium</t>
        </is>
      </c>
      <c r="F5" s="28" t="inlineStr">
        <is>
          <t>②</t>
        </is>
      </c>
      <c r="G5" s="25" t="inlineStr">
        <is>
          <t>切り抜き済</t>
        </is>
      </c>
      <c r="H5" s="24" t="n"/>
      <c r="I5" s="27" t="n"/>
      <c r="J5" s="27" t="n"/>
      <c r="K5" s="24" t="inlineStr">
        <is>
          <t>AI生成（Canva AI）暫定</t>
        </is>
      </c>
      <c r="L5" s="24" t="inlineStr">
        <is>
          <t>spring-gyo-momo.webp</t>
        </is>
      </c>
      <c r="M5" s="24" t="inlineStr">
        <is>
          <t>AI生成プロンプト作成済(参考用／AI生成花材_プロンプト集.md参照) ／ 2026-07-15 AI生成の暫定素材をhana-ar.htmlに登録（本調達①②の素材が届き次第差し替え・学芸員考証チェック待ち）</t>
        </is>
      </c>
    </row>
    <row r="6" ht="19.5" customHeight="1" s="20">
      <c r="A6" s="23" t="inlineStr">
        <is>
          <t>F005</t>
        </is>
      </c>
      <c r="B6" s="24" t="inlineStr">
        <is>
          <t>木蓮</t>
        </is>
      </c>
      <c r="C6" s="25" t="inlineStr">
        <is>
          <t>春</t>
        </is>
      </c>
      <c r="D6" s="24" t="inlineStr">
        <is>
          <t>真・行</t>
        </is>
      </c>
      <c r="E6" s="23" t="inlineStr">
        <is>
          <t>medium</t>
        </is>
      </c>
      <c r="F6" s="28" t="inlineStr">
        <is>
          <t>②</t>
        </is>
      </c>
      <c r="G6" s="25" t="inlineStr">
        <is>
          <t>切り抜き済</t>
        </is>
      </c>
      <c r="H6" s="24" t="n"/>
      <c r="I6" s="27" t="n"/>
      <c r="J6" s="27" t="n"/>
      <c r="K6" s="24" t="inlineStr">
        <is>
          <t>AI生成（Canva AI）</t>
        </is>
      </c>
      <c r="L6" s="24" t="inlineStr">
        <is>
          <t>spring-shin-mokuren.webp</t>
        </is>
      </c>
      <c r="M6" s="24" t="inlineStr">
        <is>
          <t>AI生成プロンプト作成済(参考用／AI生成花材_プロンプト集.md参照) ／ 2026-08-13 Canva AI採用(候補2・紫木蓮の盃形)</t>
        </is>
      </c>
    </row>
    <row r="7" ht="19.5" customHeight="1" s="20">
      <c r="A7" s="23" t="inlineStr">
        <is>
          <t>F006</t>
        </is>
      </c>
      <c r="B7" s="24" t="inlineStr">
        <is>
          <t>山吹</t>
        </is>
      </c>
      <c r="C7" s="25" t="inlineStr">
        <is>
          <t>春</t>
        </is>
      </c>
      <c r="D7" s="24" t="inlineStr">
        <is>
          <t>草</t>
        </is>
      </c>
      <c r="E7" s="23" t="inlineStr">
        <is>
          <t>narrow</t>
        </is>
      </c>
      <c r="F7" s="28" t="inlineStr">
        <is>
          <t>②</t>
        </is>
      </c>
      <c r="G7" s="25" t="inlineStr">
        <is>
          <t>切り抜き済</t>
        </is>
      </c>
      <c r="H7" s="24" t="n"/>
      <c r="I7" s="27" t="n"/>
      <c r="J7" s="27" t="n"/>
      <c r="K7" s="24" t="inlineStr">
        <is>
          <t>AI生成（Canva AI）</t>
        </is>
      </c>
      <c r="L7" s="24" t="inlineStr">
        <is>
          <t>spring-so-yamabuki.webp</t>
        </is>
      </c>
      <c r="M7" s="24" t="inlineStr">
        <is>
          <t>AI生成プロンプト作成済(参考用／AI生成花材_プロンプト集.md参照) ／ 2026-08-13 Canva AI採用(候補1)</t>
        </is>
      </c>
    </row>
    <row r="8" ht="19.5" customHeight="1" s="20">
      <c r="A8" s="23" t="inlineStr">
        <is>
          <t>F007</t>
        </is>
      </c>
      <c r="B8" s="24" t="inlineStr">
        <is>
          <t>盆梅</t>
        </is>
      </c>
      <c r="C8" s="25" t="inlineStr">
        <is>
          <t>春</t>
        </is>
      </c>
      <c r="D8" s="24" t="inlineStr">
        <is>
          <t>盆栽</t>
        </is>
      </c>
      <c r="E8" s="25" t="inlineStr">
        <is>
          <t>盤・卓上</t>
        </is>
      </c>
      <c r="F8" s="29" t="inlineStr">
        <is>
          <t>①/②</t>
        </is>
      </c>
      <c r="G8" s="25" t="inlineStr">
        <is>
          <t>切り抜き済</t>
        </is>
      </c>
      <c r="H8" s="24" t="n"/>
      <c r="I8" s="27" t="n"/>
      <c r="J8" s="27" t="n"/>
      <c r="K8" s="24" t="inlineStr">
        <is>
          <t>AI生成（Canva AI）</t>
        </is>
      </c>
      <c r="L8" s="24" t="inlineStr">
        <is>
          <t>spring-bonsai-bonbai.webp</t>
        </is>
      </c>
      <c r="M8" s="24" t="inlineStr">
        <is>
          <t>AI生成プロンプト作成済(参考用／AI生成花材_プロンプト集.md参照) ／ 2026-08-13 Canva AI採用(候補3・古木/器なし)</t>
        </is>
      </c>
    </row>
    <row r="9" ht="19.5" customHeight="1" s="20">
      <c r="A9" s="23" t="inlineStr">
        <is>
          <t>F008</t>
        </is>
      </c>
      <c r="B9" s="24" t="inlineStr">
        <is>
          <t>蓮（荷花）</t>
        </is>
      </c>
      <c r="C9" s="25" t="inlineStr">
        <is>
          <t>夏</t>
        </is>
      </c>
      <c r="D9" s="24" t="inlineStr">
        <is>
          <t>文人花・真</t>
        </is>
      </c>
      <c r="E9" s="23" t="inlineStr">
        <is>
          <t>medium/wide</t>
        </is>
      </c>
      <c r="F9" s="26" t="inlineStr">
        <is>
          <t>①</t>
        </is>
      </c>
      <c r="G9" s="25" t="inlineStr">
        <is>
          <t>未着手</t>
        </is>
      </c>
      <c r="H9" s="24" t="n"/>
      <c r="I9" s="27" t="n"/>
      <c r="J9" s="27" t="n"/>
      <c r="K9" s="24" t="n"/>
      <c r="L9" s="24" t="n"/>
      <c r="M9" s="24" t="inlineStr">
        <is>
          <t>AI生成プロンプト作成済(参考用／AI生成花材_プロンプト集.md参照)</t>
        </is>
      </c>
    </row>
    <row r="10" ht="19.5" customHeight="1" s="20">
      <c r="A10" s="23" t="inlineStr">
        <is>
          <t>F009</t>
        </is>
      </c>
      <c r="B10" s="24" t="inlineStr">
        <is>
          <t>石榴花</t>
        </is>
      </c>
      <c r="C10" s="25" t="inlineStr">
        <is>
          <t>夏</t>
        </is>
      </c>
      <c r="D10" s="24" t="inlineStr">
        <is>
          <t>文人花・草</t>
        </is>
      </c>
      <c r="E10" s="23" t="inlineStr">
        <is>
          <t>narrow</t>
        </is>
      </c>
      <c r="F10" s="30" t="inlineStr">
        <is>
          <t>③</t>
        </is>
      </c>
      <c r="G10" s="25" t="inlineStr">
        <is>
          <t>切り抜き済</t>
        </is>
      </c>
      <c r="H10" s="24" t="n"/>
      <c r="I10" s="27" t="n"/>
      <c r="J10" s="27" t="n"/>
      <c r="K10" s="24" t="inlineStr">
        <is>
          <t>AI生成（Canva AI）</t>
        </is>
      </c>
      <c r="L10" s="24" t="inlineStr">
        <is>
          <t>summer-bunjin-zakurobana.webp</t>
        </is>
      </c>
      <c r="M10" s="27" t="inlineStr">
        <is>
          <t>AI生成候補 ／ AI生成プロンプト作成済(AI生成花材_プロンプト集.md参照) ／ 2026-07-15 Canva AIで生成・hana-ar.htmlに登録済（学芸員考証チェック待ち） ／ 2026-07-15 指定候補からMLセグメンテーション(rembg/isnet)で再切り抜き(最終版)</t>
        </is>
      </c>
    </row>
    <row r="11" ht="19.5" customHeight="1" s="20">
      <c r="A11" s="23" t="inlineStr">
        <is>
          <t>F010</t>
        </is>
      </c>
      <c r="B11" s="24" t="inlineStr">
        <is>
          <t>梔子</t>
        </is>
      </c>
      <c r="C11" s="25" t="inlineStr">
        <is>
          <t>夏</t>
        </is>
      </c>
      <c r="D11" s="24" t="inlineStr">
        <is>
          <t>文人花</t>
        </is>
      </c>
      <c r="E11" s="23" t="inlineStr">
        <is>
          <t>narrow</t>
        </is>
      </c>
      <c r="F11" s="28" t="inlineStr">
        <is>
          <t>②</t>
        </is>
      </c>
      <c r="G11" s="25" t="inlineStr">
        <is>
          <t>未着手</t>
        </is>
      </c>
      <c r="H11" s="27" t="n"/>
      <c r="I11" s="27" t="n"/>
      <c r="J11" s="27" t="n"/>
      <c r="K11" s="27" t="n"/>
      <c r="L11" s="27" t="n"/>
      <c r="M11" s="27" t="inlineStr">
        <is>
          <t>AI生成プロンプト作成済(参考用／AI生成花材_プロンプト集.md参照)</t>
        </is>
      </c>
    </row>
    <row r="12" ht="19.5" customHeight="1" s="20">
      <c r="A12" s="23" t="inlineStr">
        <is>
          <t>F011</t>
        </is>
      </c>
      <c r="B12" s="24" t="inlineStr">
        <is>
          <t>菖蒲</t>
        </is>
      </c>
      <c r="C12" s="25" t="inlineStr">
        <is>
          <t>夏</t>
        </is>
      </c>
      <c r="D12" s="24" t="inlineStr">
        <is>
          <t>真・行</t>
        </is>
      </c>
      <c r="E12" s="23" t="inlineStr">
        <is>
          <t>medium</t>
        </is>
      </c>
      <c r="F12" s="28" t="inlineStr">
        <is>
          <t>②</t>
        </is>
      </c>
      <c r="G12" s="25" t="inlineStr">
        <is>
          <t>切り抜き済</t>
        </is>
      </c>
      <c r="H12" s="27" t="n"/>
      <c r="I12" s="27" t="n"/>
      <c r="J12" s="27" t="n"/>
      <c r="K12" s="27" t="inlineStr">
        <is>
          <t>AI生成（Canva AI）</t>
        </is>
      </c>
      <c r="L12" s="27" t="inlineStr">
        <is>
          <t>summer-shin-shoubu.webp</t>
        </is>
      </c>
      <c r="M12" s="27" t="inlineStr">
        <is>
          <t>AI生成プロンプト作成済(参考用／AI生成花材_プロンプト集.md参照) ／ 2026-08-13 Canva AI採用(候補1)</t>
        </is>
      </c>
    </row>
    <row r="13" ht="19.5" customHeight="1" s="20">
      <c r="A13" s="23" t="inlineStr">
        <is>
          <t>F012</t>
        </is>
      </c>
      <c r="B13" s="24" t="inlineStr">
        <is>
          <t>芍薬</t>
        </is>
      </c>
      <c r="C13" s="25" t="inlineStr">
        <is>
          <t>夏</t>
        </is>
      </c>
      <c r="D13" s="24" t="inlineStr">
        <is>
          <t>行</t>
        </is>
      </c>
      <c r="E13" s="23" t="inlineStr">
        <is>
          <t>medium</t>
        </is>
      </c>
      <c r="F13" s="28" t="inlineStr">
        <is>
          <t>②</t>
        </is>
      </c>
      <c r="G13" s="25" t="inlineStr">
        <is>
          <t>未着手</t>
        </is>
      </c>
      <c r="H13" s="27" t="n"/>
      <c r="I13" s="27" t="n"/>
      <c r="J13" s="27" t="n"/>
      <c r="K13" s="27" t="n"/>
      <c r="L13" s="27" t="n"/>
      <c r="M13" s="27" t="inlineStr">
        <is>
          <t>AI生成プロンプト作成済(参考用／AI生成花材_プロンプト集.md参照)</t>
        </is>
      </c>
    </row>
    <row r="14" ht="19.5" customHeight="1" s="20">
      <c r="A14" s="23" t="inlineStr">
        <is>
          <t>F013</t>
        </is>
      </c>
      <c r="B14" s="24" t="inlineStr">
        <is>
          <t>萱草</t>
        </is>
      </c>
      <c r="C14" s="25" t="inlineStr">
        <is>
          <t>夏</t>
        </is>
      </c>
      <c r="D14" s="24" t="inlineStr">
        <is>
          <t>草</t>
        </is>
      </c>
      <c r="E14" s="23" t="inlineStr">
        <is>
          <t>narrow</t>
        </is>
      </c>
      <c r="F14" s="28" t="inlineStr">
        <is>
          <t>②</t>
        </is>
      </c>
      <c r="G14" s="25" t="inlineStr">
        <is>
          <t>未着手</t>
        </is>
      </c>
      <c r="H14" s="27" t="n"/>
      <c r="I14" s="27" t="n"/>
      <c r="J14" s="27" t="n"/>
      <c r="K14" s="27" t="n"/>
      <c r="L14" s="27" t="n"/>
      <c r="M14" s="27" t="inlineStr">
        <is>
          <t>AI生成プロンプト作成済(参考用／AI生成花材_プロンプト集.md参照)</t>
        </is>
      </c>
    </row>
    <row r="15" ht="19.5" customHeight="1" s="20">
      <c r="A15" s="23" t="inlineStr">
        <is>
          <t>F014</t>
        </is>
      </c>
      <c r="B15" s="24" t="inlineStr">
        <is>
          <t>枇杷の盛物</t>
        </is>
      </c>
      <c r="C15" s="25" t="inlineStr">
        <is>
          <t>夏</t>
        </is>
      </c>
      <c r="D15" s="24" t="inlineStr">
        <is>
          <t>盛物</t>
        </is>
      </c>
      <c r="E15" s="23" t="inlineStr">
        <is>
          <t>flat</t>
        </is>
      </c>
      <c r="F15" s="28" t="inlineStr">
        <is>
          <t>②</t>
        </is>
      </c>
      <c r="G15" s="25" t="inlineStr">
        <is>
          <t>未着手</t>
        </is>
      </c>
      <c r="H15" s="27" t="n"/>
      <c r="I15" s="27" t="n"/>
      <c r="J15" s="27" t="n"/>
      <c r="K15" s="27" t="n"/>
      <c r="L15" s="27" t="n"/>
      <c r="M15" s="27" t="inlineStr">
        <is>
          <t>AI生成プロンプト作成済(参考用／AI生成花材_プロンプト集.md参照)</t>
        </is>
      </c>
    </row>
    <row r="16" ht="19.5" customHeight="1" s="20">
      <c r="A16" s="23" t="inlineStr">
        <is>
          <t>F015</t>
        </is>
      </c>
      <c r="B16" s="24" t="inlineStr">
        <is>
          <t>菊</t>
        </is>
      </c>
      <c r="C16" s="25" t="inlineStr">
        <is>
          <t>秋</t>
        </is>
      </c>
      <c r="D16" s="24" t="inlineStr">
        <is>
          <t>文人花・真・行・草</t>
        </is>
      </c>
      <c r="E16" s="23" t="inlineStr">
        <is>
          <t>narrow/medium</t>
        </is>
      </c>
      <c r="F16" s="29" t="inlineStr">
        <is>
          <t>①+②</t>
        </is>
      </c>
      <c r="G16" s="25" t="inlineStr">
        <is>
          <t>未着手</t>
        </is>
      </c>
      <c r="H16" s="27" t="n"/>
      <c r="I16" s="27" t="n"/>
      <c r="J16" s="27" t="n"/>
      <c r="K16" s="27" t="n"/>
      <c r="L16" s="27" t="n"/>
      <c r="M16" s="24" t="inlineStr">
        <is>
          <t>代表構成は①、一枝ものは② ／ AI生成プロンプト作成済(参考用／AI生成花材_プロンプト集.md参照)</t>
        </is>
      </c>
    </row>
    <row r="17" ht="19.5" customHeight="1" s="20">
      <c r="A17" s="23" t="inlineStr">
        <is>
          <t>F016</t>
        </is>
      </c>
      <c r="B17" s="24" t="inlineStr">
        <is>
          <t>桂花</t>
        </is>
      </c>
      <c r="C17" s="25" t="inlineStr">
        <is>
          <t>秋</t>
        </is>
      </c>
      <c r="D17" s="24" t="inlineStr">
        <is>
          <t>文人花</t>
        </is>
      </c>
      <c r="E17" s="23" t="inlineStr">
        <is>
          <t>narrow</t>
        </is>
      </c>
      <c r="F17" s="30" t="inlineStr">
        <is>
          <t>③</t>
        </is>
      </c>
      <c r="G17" s="25" t="inlineStr">
        <is>
          <t>切り抜き済</t>
        </is>
      </c>
      <c r="H17" s="27" t="n"/>
      <c r="I17" s="27" t="n"/>
      <c r="J17" s="27" t="n"/>
      <c r="K17" s="27" t="inlineStr">
        <is>
          <t>AI生成（Canva AI）</t>
        </is>
      </c>
      <c r="L17" s="27" t="inlineStr">
        <is>
          <t>autumn-bunjin-keika.webp</t>
        </is>
      </c>
      <c r="M17" s="27" t="inlineStr">
        <is>
          <t>AI生成候補 ／ AI生成プロンプト作成済(AI生成花材_プロンプト集.md参照) ／ 2026-07-15 Canva AIで生成・hana-ar.htmlに登録済（学芸員考証チェック待ち） ／ 2026-07-15 指定候補からMLセグメンテーション(rembg/isnet)で再切り抜き(最終版)</t>
        </is>
      </c>
    </row>
    <row r="18" ht="19.5" customHeight="1" s="20">
      <c r="A18" s="23" t="inlineStr">
        <is>
          <t>F017</t>
        </is>
      </c>
      <c r="B18" s="24" t="inlineStr">
        <is>
          <t>紅葉一枝</t>
        </is>
      </c>
      <c r="C18" s="25" t="inlineStr">
        <is>
          <t>秋</t>
        </is>
      </c>
      <c r="D18" s="24" t="inlineStr">
        <is>
          <t>草</t>
        </is>
      </c>
      <c r="E18" s="23" t="inlineStr">
        <is>
          <t>narrow</t>
        </is>
      </c>
      <c r="F18" s="28" t="inlineStr">
        <is>
          <t>②</t>
        </is>
      </c>
      <c r="G18" s="25" t="inlineStr">
        <is>
          <t>未着手</t>
        </is>
      </c>
      <c r="H18" s="27" t="n"/>
      <c r="I18" s="27" t="n"/>
      <c r="J18" s="27" t="n"/>
      <c r="K18" s="27" t="n"/>
      <c r="L18" s="27" t="n"/>
      <c r="M18" s="27" t="inlineStr">
        <is>
          <t>AI生成プロンプト作成済(参考用／AI生成花材_プロンプト集.md参照)</t>
        </is>
      </c>
    </row>
    <row r="19" ht="19.5" customHeight="1" s="20">
      <c r="A19" s="23" t="inlineStr">
        <is>
          <t>F018</t>
        </is>
      </c>
      <c r="B19" s="24" t="inlineStr">
        <is>
          <t>芙蓉</t>
        </is>
      </c>
      <c r="C19" s="25" t="inlineStr">
        <is>
          <t>秋</t>
        </is>
      </c>
      <c r="D19" s="24" t="inlineStr">
        <is>
          <t>行</t>
        </is>
      </c>
      <c r="E19" s="23" t="inlineStr">
        <is>
          <t>medium</t>
        </is>
      </c>
      <c r="F19" s="28" t="inlineStr">
        <is>
          <t>②</t>
        </is>
      </c>
      <c r="G19" s="25" t="inlineStr">
        <is>
          <t>未着手</t>
        </is>
      </c>
      <c r="H19" s="27" t="n"/>
      <c r="I19" s="27" t="n"/>
      <c r="J19" s="27" t="n"/>
      <c r="K19" s="27" t="n"/>
      <c r="L19" s="27" t="n"/>
      <c r="M19" s="27" t="inlineStr">
        <is>
          <t>AI生成プロンプト作成済(参考用／AI生成花材_プロンプト集.md参照)</t>
        </is>
      </c>
    </row>
    <row r="20" ht="19.5" customHeight="1" s="20">
      <c r="A20" s="23" t="inlineStr">
        <is>
          <t>F019</t>
        </is>
      </c>
      <c r="B20" s="24" t="inlineStr">
        <is>
          <t>竜胆</t>
        </is>
      </c>
      <c r="C20" s="25" t="inlineStr">
        <is>
          <t>秋</t>
        </is>
      </c>
      <c r="D20" s="24" t="inlineStr">
        <is>
          <t>草</t>
        </is>
      </c>
      <c r="E20" s="23" t="inlineStr">
        <is>
          <t>narrow</t>
        </is>
      </c>
      <c r="F20" s="28" t="inlineStr">
        <is>
          <t>②</t>
        </is>
      </c>
      <c r="G20" s="25" t="inlineStr">
        <is>
          <t>未着手</t>
        </is>
      </c>
      <c r="H20" s="27" t="n"/>
      <c r="I20" s="27" t="n"/>
      <c r="J20" s="27" t="n"/>
      <c r="K20" s="27" t="n"/>
      <c r="L20" s="27" t="n"/>
      <c r="M20" s="27" t="inlineStr">
        <is>
          <t>AI生成プロンプト作成済(参考用／AI生成花材_プロンプト集.md参照)</t>
        </is>
      </c>
    </row>
    <row r="21" ht="19.5" customHeight="1" s="20">
      <c r="A21" s="23" t="inlineStr">
        <is>
          <t>F020</t>
        </is>
      </c>
      <c r="B21" s="24" t="inlineStr">
        <is>
          <t>葡萄・石榴の盛物</t>
        </is>
      </c>
      <c r="C21" s="25" t="inlineStr">
        <is>
          <t>秋</t>
        </is>
      </c>
      <c r="D21" s="24" t="inlineStr">
        <is>
          <t>盛物</t>
        </is>
      </c>
      <c r="E21" s="23" t="inlineStr">
        <is>
          <t>flat</t>
        </is>
      </c>
      <c r="F21" s="28" t="inlineStr">
        <is>
          <t>②</t>
        </is>
      </c>
      <c r="G21" s="25" t="inlineStr">
        <is>
          <t>未着手</t>
        </is>
      </c>
      <c r="H21" s="27" t="n"/>
      <c r="I21" s="27" t="n"/>
      <c r="J21" s="27" t="n"/>
      <c r="K21" s="27" t="n"/>
      <c r="L21" s="27" t="n"/>
      <c r="M21" s="27" t="inlineStr">
        <is>
          <t>AI生成プロンプト作成済(参考用／AI生成花材_プロンプト集.md参照)</t>
        </is>
      </c>
    </row>
    <row r="22" ht="19.5" customHeight="1" s="20">
      <c r="A22" s="23" t="inlineStr">
        <is>
          <t>F021</t>
        </is>
      </c>
      <c r="B22" s="24" t="inlineStr">
        <is>
          <t>蝋梅</t>
        </is>
      </c>
      <c r="C22" s="25" t="inlineStr">
        <is>
          <t>冬</t>
        </is>
      </c>
      <c r="D22" s="24" t="inlineStr">
        <is>
          <t>文人花</t>
        </is>
      </c>
      <c r="E22" s="23" t="inlineStr">
        <is>
          <t>narrow</t>
        </is>
      </c>
      <c r="F22" s="30" t="inlineStr">
        <is>
          <t>③</t>
        </is>
      </c>
      <c r="G22" s="25" t="inlineStr">
        <is>
          <t>切り抜き済</t>
        </is>
      </c>
      <c r="H22" s="27" t="n"/>
      <c r="I22" s="27" t="n"/>
      <c r="J22" s="27" t="n"/>
      <c r="K22" s="27" t="inlineStr">
        <is>
          <t>AI生成（Canva AI）</t>
        </is>
      </c>
      <c r="L22" s="27" t="inlineStr">
        <is>
          <t>winter-bunjin-robai.webp</t>
        </is>
      </c>
      <c r="M22" s="24" t="inlineStr">
        <is>
          <t>撮影可なら①に変更 ／ AI生成プロンプト作成済(AI生成花材_プロンプト集.md参照) ／ 2026-07-15 Canva AIで生成・hana-ar.htmlにF021として登録済（学芸員考証チェック待ち）</t>
        </is>
      </c>
    </row>
    <row r="23" ht="19.5" customHeight="1" s="20">
      <c r="A23" s="23" t="inlineStr">
        <is>
          <t>F022</t>
        </is>
      </c>
      <c r="B23" s="24" t="inlineStr">
        <is>
          <t>水仙</t>
        </is>
      </c>
      <c r="C23" s="25" t="inlineStr">
        <is>
          <t>冬</t>
        </is>
      </c>
      <c r="D23" s="24" t="inlineStr">
        <is>
          <t>文人花・草</t>
        </is>
      </c>
      <c r="E23" s="23" t="inlineStr">
        <is>
          <t>narrow</t>
        </is>
      </c>
      <c r="F23" s="26" t="inlineStr">
        <is>
          <t>①</t>
        </is>
      </c>
      <c r="G23" s="25" t="inlineStr">
        <is>
          <t>切り抜き済</t>
        </is>
      </c>
      <c r="H23" s="27" t="n"/>
      <c r="I23" s="27" t="n"/>
      <c r="J23" s="27" t="n"/>
      <c r="K23" s="27" t="inlineStr">
        <is>
          <t>AI生成（Canva AI）暫定</t>
        </is>
      </c>
      <c r="L23" s="27" t="inlineStr">
        <is>
          <t>winter-bunjin-suisen.webp</t>
        </is>
      </c>
      <c r="M23" s="27" t="inlineStr">
        <is>
          <t>AI生成プロンプト作成済(参考用／AI生成花材_プロンプト集.md参照) ／ ①本調達(撮影)確保後に差替 ／ 2026-08-13 Canva AI暫定採用(候補1)</t>
        </is>
      </c>
    </row>
    <row r="24" ht="19.5" customHeight="1" s="20">
      <c r="A24" s="23" t="inlineStr">
        <is>
          <t>F023</t>
        </is>
      </c>
      <c r="B24" s="24" t="inlineStr">
        <is>
          <t>一枝の梅</t>
        </is>
      </c>
      <c r="C24" s="25" t="inlineStr">
        <is>
          <t>冬</t>
        </is>
      </c>
      <c r="D24" s="24" t="inlineStr">
        <is>
          <t>文人花・草</t>
        </is>
      </c>
      <c r="E24" s="23" t="inlineStr">
        <is>
          <t>narrow</t>
        </is>
      </c>
      <c r="F24" s="26" t="inlineStr">
        <is>
          <t>①</t>
        </is>
      </c>
      <c r="G24" s="25" t="inlineStr">
        <is>
          <t>切り抜き済</t>
        </is>
      </c>
      <c r="H24" s="27" t="n"/>
      <c r="I24" s="27" t="n"/>
      <c r="J24" s="27" t="n"/>
      <c r="K24" s="27" t="inlineStr">
        <is>
          <t>AI生成（Canva AI）暫定</t>
        </is>
      </c>
      <c r="L24" s="27" t="inlineStr">
        <is>
          <t>winter-bunjin-ume-hitoeda.webp</t>
        </is>
      </c>
      <c r="M24" s="27" t="inlineStr">
        <is>
          <t>AI生成プロンプト作成済(参考用／AI生成花材_プロンプト集.md参照) ／ 2026-07-17 春バッチの梅未採用候補(候補2)を一枝の梅の暫定素材として転用。①本調達素材の確保後に差し替え</t>
        </is>
      </c>
    </row>
    <row r="25" ht="19.5" customHeight="1" s="20">
      <c r="A25" s="23" t="inlineStr">
        <is>
          <t>F024</t>
        </is>
      </c>
      <c r="B25" s="24" t="inlineStr">
        <is>
          <t>松竹梅</t>
        </is>
      </c>
      <c r="C25" s="25" t="inlineStr">
        <is>
          <t>冬</t>
        </is>
      </c>
      <c r="D25" s="24" t="inlineStr">
        <is>
          <t>真</t>
        </is>
      </c>
      <c r="E25" s="23" t="inlineStr">
        <is>
          <t>medium</t>
        </is>
      </c>
      <c r="F25" s="26" t="inlineStr">
        <is>
          <t>①</t>
        </is>
      </c>
      <c r="G25" s="25" t="inlineStr">
        <is>
          <t>切り抜き済</t>
        </is>
      </c>
      <c r="H25" s="27" t="n"/>
      <c r="I25" s="27" t="n"/>
      <c r="J25" s="27" t="n"/>
      <c r="K25" s="27" t="inlineStr">
        <is>
          <t>AI生成（Canva AI）暫定</t>
        </is>
      </c>
      <c r="L25" s="27" t="inlineStr">
        <is>
          <t>winter-shin-shouchikubai.webp</t>
        </is>
      </c>
      <c r="M25" s="27" t="inlineStr">
        <is>
          <t>AI生成プロンプト作成済(参考用／AI生成花材_プロンプト集.md参照) ／ ①本調達確保後に差替 ／ 2026-08-13 Canva AI暫定採用(松竹梅3種そろい・再生成候補)</t>
        </is>
      </c>
    </row>
    <row r="26" ht="19.5" customHeight="1" s="20">
      <c r="A26" s="23" t="inlineStr">
        <is>
          <t>F025</t>
        </is>
      </c>
      <c r="B26" s="24" t="inlineStr">
        <is>
          <t>南天</t>
        </is>
      </c>
      <c r="C26" s="25" t="inlineStr">
        <is>
          <t>冬</t>
        </is>
      </c>
      <c r="D26" s="24" t="inlineStr">
        <is>
          <t>草</t>
        </is>
      </c>
      <c r="E26" s="23" t="inlineStr">
        <is>
          <t>narrow</t>
        </is>
      </c>
      <c r="F26" s="28" t="inlineStr">
        <is>
          <t>②</t>
        </is>
      </c>
      <c r="G26" s="25" t="inlineStr">
        <is>
          <t>切り抜き済</t>
        </is>
      </c>
      <c r="H26" s="27" t="n"/>
      <c r="I26" s="27" t="n"/>
      <c r="J26" s="27" t="n"/>
      <c r="K26" s="27" t="inlineStr">
        <is>
          <t>AI生成（Canva AI）</t>
        </is>
      </c>
      <c r="L26" s="27" t="inlineStr">
        <is>
          <t>winter-so-nanten.webp</t>
        </is>
      </c>
      <c r="M26" s="27" t="inlineStr">
        <is>
          <t>AI生成プロンプト作成済(参考用／AI生成花材_プロンプト集.md参照) ／ ②ストック確保後に差替可 ／ 2026-08-13 Canva AI採用(候補2)</t>
        </is>
      </c>
    </row>
    <row r="27" ht="19.5" customHeight="1" s="20">
      <c r="A27" s="23" t="inlineStr">
        <is>
          <t>F026</t>
        </is>
      </c>
      <c r="B27" s="24" t="inlineStr">
        <is>
          <t>山茶</t>
        </is>
      </c>
      <c r="C27" s="25" t="inlineStr">
        <is>
          <t>冬</t>
        </is>
      </c>
      <c r="D27" s="24" t="inlineStr">
        <is>
          <t>行・草</t>
        </is>
      </c>
      <c r="E27" s="23" t="inlineStr">
        <is>
          <t>narrow/medium</t>
        </is>
      </c>
      <c r="F27" s="28" t="inlineStr">
        <is>
          <t>②</t>
        </is>
      </c>
      <c r="G27" s="25" t="inlineStr">
        <is>
          <t>切り抜き済</t>
        </is>
      </c>
      <c r="H27" s="27" t="n"/>
      <c r="I27" s="27" t="n"/>
      <c r="J27" s="27" t="n"/>
      <c r="K27" s="27" t="inlineStr">
        <is>
          <t>AI生成（Canva AI）</t>
        </is>
      </c>
      <c r="L27" s="27" t="inlineStr">
        <is>
          <t>winter-gyo-sancha.webp</t>
        </is>
      </c>
      <c r="M27" s="27" t="inlineStr">
        <is>
          <t>AI生成プロンプト作成済(参考用／AI生成花材_プロンプト集.md参照) ／ ②ストック確保後に差替可 ／ 2026-08-13 Canva AI採用(候補2)</t>
        </is>
      </c>
    </row>
    <row r="28" ht="19.5" customHeight="1" s="20">
      <c r="A28" s="23" t="inlineStr">
        <is>
          <t>F027</t>
        </is>
      </c>
      <c r="B28" s="24" t="inlineStr">
        <is>
          <t>水仙盆栽</t>
        </is>
      </c>
      <c r="C28" s="25" t="inlineStr">
        <is>
          <t>冬</t>
        </is>
      </c>
      <c r="D28" s="24" t="inlineStr">
        <is>
          <t>盆栽</t>
        </is>
      </c>
      <c r="E28" s="23" t="inlineStr">
        <is>
          <t>flat</t>
        </is>
      </c>
      <c r="F28" s="29" t="inlineStr">
        <is>
          <t>①/②</t>
        </is>
      </c>
      <c r="G28" s="25" t="inlineStr">
        <is>
          <t>切り抜き済</t>
        </is>
      </c>
      <c r="H28" s="27" t="n"/>
      <c r="I28" s="27" t="n"/>
      <c r="J28" s="27" t="n"/>
      <c r="K28" s="27" t="inlineStr">
        <is>
          <t>AI生成（Canva AI）</t>
        </is>
      </c>
      <c r="L28" s="27" t="inlineStr">
        <is>
          <t>winter-bonsai-suisen.webp</t>
        </is>
      </c>
      <c r="M28" s="27" t="inlineStr">
        <is>
          <t>AI生成プロンプト作成済(参考用／AI生成花材_プロンプト集.md参照) ／ ①/②確保後に差替 ／ 2026-08-13 Canva AI採用(候補4・器なし根束ね)</t>
        </is>
      </c>
    </row>
    <row r="29" ht="19.5" customHeight="1" s="20">
      <c r="A29" s="23" t="inlineStr">
        <is>
          <t>F028</t>
        </is>
      </c>
      <c r="B29" s="24" t="inlineStr">
        <is>
          <t>仏手柑の盛物</t>
        </is>
      </c>
      <c r="C29" s="25" t="inlineStr">
        <is>
          <t>冬</t>
        </is>
      </c>
      <c r="D29" s="24" t="inlineStr">
        <is>
          <t>盛物</t>
        </is>
      </c>
      <c r="E29" s="23" t="inlineStr">
        <is>
          <t>flat</t>
        </is>
      </c>
      <c r="F29" s="30" t="inlineStr">
        <is>
          <t>③</t>
        </is>
      </c>
      <c r="G29" s="25" t="inlineStr">
        <is>
          <t>依頼中</t>
        </is>
      </c>
      <c r="H29" s="27" t="n"/>
      <c r="I29" s="27" t="n"/>
      <c r="J29" s="27" t="n"/>
      <c r="K29" s="27" t="n"/>
      <c r="L29" s="27" t="n"/>
      <c r="M29" s="27" t="inlineStr">
        <is>
          <t>AI生成候補 ／ AI生成プロンプト作成済(AI生成花材_プロンプト集.md参照) ／ 2026-07-15 AI生成したが考証で不採用（アプリ未登録）</t>
        </is>
      </c>
    </row>
    <row r="30" ht="19.5" customHeight="1" s="20">
      <c r="A30" s="23" t="inlineStr">
        <is>
          <t>F029</t>
        </is>
      </c>
      <c r="B30" s="24" t="inlineStr">
        <is>
          <t>牡丹</t>
        </is>
      </c>
      <c r="C30" s="25" t="inlineStr">
        <is>
          <t>春</t>
        </is>
      </c>
      <c r="D30" s="24" t="inlineStr">
        <is>
          <t>文人花</t>
        </is>
      </c>
      <c r="E30" s="23" t="inlineStr">
        <is>
          <t>medium</t>
        </is>
      </c>
      <c r="F30" s="30" t="inlineStr">
        <is>
          <t>③</t>
        </is>
      </c>
      <c r="G30" s="25" t="inlineStr">
        <is>
          <t>切り抜き済</t>
        </is>
      </c>
      <c r="H30" s="27" t="n"/>
      <c r="I30" s="27" t="n"/>
      <c r="J30" s="27" t="n"/>
      <c r="K30" s="27" t="inlineStr">
        <is>
          <t>AI生成（Canva AI）</t>
        </is>
      </c>
      <c r="L30" s="27" t="inlineStr">
        <is>
          <t>spring-bunjin-botan.webp</t>
        </is>
      </c>
      <c r="M30" s="24" t="inlineStr">
        <is>
          <t>追加項目(元28種リスト外) ／ AI生成プロンプト作成済(AI生成花材_プロンプト集.md参照) ／ 2026-07-15 Canva AIで生成・hana-ar.htmlに登録済（学芸員考証チェック待ち） ／ 2026-07-15 指定候補からMLセグメンテーション(rembg/isnet)で再切り抜き(最終版)</t>
        </is>
      </c>
    </row>
  </sheetData>
  <dataValidations count="2">
    <dataValidation sqref="G2:G30" showDropDown="0" showInputMessage="0" showErrorMessage="0" allowBlank="1" type="list" errorStyle="stop" operator="between">
      <formula1>"未着手,依頼中,撮影済,切り抜き済,考証チェック済,納品済"</formula1>
      <formula2>0</formula2>
    </dataValidation>
    <dataValidation sqref="I2:J30" showDropDown="0" showInputMessage="0" showErrorMessage="0" allowBlank="1" type="list" errorStyle="stop" operator="between">
      <formula1>"未確認,確認済,該当なし"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9" min="1" max="1"/>
    <col width="12" customWidth="1" style="19" min="2" max="2"/>
    <col width="40" customWidth="1" style="19" min="3" max="3"/>
  </cols>
  <sheetData>
    <row r="1" ht="17.25" customHeight="1" s="20">
      <c r="A1" s="31" t="inlineStr">
        <is>
          <t>花材調達　進捗サマリー</t>
        </is>
      </c>
    </row>
    <row r="3" ht="15" customHeight="1" s="20">
      <c r="A3" s="32" t="inlineStr">
        <is>
          <t>花材総数</t>
        </is>
      </c>
      <c r="B3" s="19" t="n">
        <v>29</v>
      </c>
    </row>
    <row r="5" ht="15" customHeight="1" s="20">
      <c r="A5" s="32" t="inlineStr">
        <is>
          <t>【調達区分別 内訳】</t>
        </is>
      </c>
    </row>
    <row r="6" ht="15" customHeight="1" s="20">
      <c r="A6" s="33" t="inlineStr">
        <is>
          <t>① 華道家連携撮影（含む併用）</t>
        </is>
      </c>
      <c r="B6" s="34">
        <f>COUNTIF(花材調達一覧!F2:F30,"*①*")</f>
        <v/>
      </c>
    </row>
    <row r="7" ht="15" customHeight="1" s="20">
      <c r="A7" s="33" t="inlineStr">
        <is>
          <t>② ストックフォト（含む併用）</t>
        </is>
      </c>
      <c r="B7" s="34">
        <f>COUNTIF(花材調達一覧!F2:F30,"*②*")</f>
        <v/>
      </c>
    </row>
    <row r="8" ht="15" customHeight="1" s="20">
      <c r="A8" s="35" t="inlineStr">
        <is>
          <t>③ AI生成（候補含む）</t>
        </is>
      </c>
      <c r="B8" s="34">
        <f>COUNTIF(花材調達一覧!F2:F30,"*③*")</f>
        <v/>
      </c>
    </row>
    <row r="10" ht="15" customHeight="1" s="20">
      <c r="A10" s="32" t="inlineStr">
        <is>
          <t>【状態別 内訳】</t>
        </is>
      </c>
    </row>
    <row r="11" ht="15" customHeight="1" s="20">
      <c r="A11" s="33" t="inlineStr">
        <is>
          <t>未着手</t>
        </is>
      </c>
      <c r="B11" s="34">
        <f>COUNTIF(花材調達一覧!G2:G30,"未着手")</f>
        <v/>
      </c>
    </row>
    <row r="12" ht="15" customHeight="1" s="20">
      <c r="A12" s="33" t="inlineStr">
        <is>
          <t>依頼中</t>
        </is>
      </c>
      <c r="B12" s="34">
        <f>COUNTIF(花材調達一覧!G2:G30,"依頼中")</f>
        <v/>
      </c>
    </row>
    <row r="13" ht="15" customHeight="1" s="20">
      <c r="A13" s="33" t="inlineStr">
        <is>
          <t>撮影済</t>
        </is>
      </c>
      <c r="B13" s="34">
        <f>COUNTIF(花材調達一覧!G2:G30,"撮影済")</f>
        <v/>
      </c>
    </row>
    <row r="14" ht="15" customHeight="1" s="20">
      <c r="A14" s="33" t="inlineStr">
        <is>
          <t>切り抜き済</t>
        </is>
      </c>
      <c r="B14" s="34">
        <f>COUNTIF(花材調達一覧!G2:G30,"切り抜き済")</f>
        <v/>
      </c>
    </row>
    <row r="15" ht="15" customHeight="1" s="20">
      <c r="A15" s="33" t="inlineStr">
        <is>
          <t>考証チェック済</t>
        </is>
      </c>
      <c r="B15" s="34">
        <f>COUNTIF(花材調達一覧!G2:G30,"考証チェック済")</f>
        <v/>
      </c>
    </row>
    <row r="16" ht="15" customHeight="1" s="20">
      <c r="A16" s="33" t="inlineStr">
        <is>
          <t>納品済</t>
        </is>
      </c>
      <c r="B16" s="34">
        <f>COUNTIF(花材調達一覧!G2:G30,"納品済")</f>
        <v/>
      </c>
    </row>
    <row r="18" ht="15" customHeight="1" s="20">
      <c r="A18" s="32" t="inlineStr">
        <is>
          <t>【進捗率】</t>
        </is>
      </c>
    </row>
    <row r="19" ht="15" customHeight="1" s="20">
      <c r="A19" s="33" t="inlineStr">
        <is>
          <t>納品済 割合</t>
        </is>
      </c>
      <c r="B19" s="36">
        <f>COUNTIF(花材調達一覧!G2:G30,"納品済")/29</f>
        <v/>
      </c>
    </row>
    <row r="21" ht="15" customHeight="1" s="20">
      <c r="A21" s="37" t="inlineStr">
        <is>
          <t>※ このシートの数値はすべて「花材調達一覧」シートの入力から自動計算されます。</t>
        </is>
      </c>
    </row>
    <row r="22" ht="15" customHeight="1" s="20">
      <c r="A22" s="37" t="inlineStr">
        <is>
          <t>※ 状態列・確認列はプルダウンから選択してください（直接入力も可）。</t>
        </is>
      </c>
    </row>
  </sheetData>
  <mergeCells count="3">
    <mergeCell ref="A1:C1"/>
    <mergeCell ref="A21:C21"/>
    <mergeCell ref="A22:C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2026-07-12T11:29:21Z</dcterms:created>
  <dcterms:modified xsi:type="dcterms:W3CDTF">2026-08-13T02:13:27Z</dcterms:modified>
  <cp:revision>0</cp:revision>
</cp:coreProperties>
</file>