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花材調達一覧" sheetId="1" state="visible" r:id="rId3"/>
    <sheet name="進捗サマリー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<sst xmlns="http://schemas.openxmlformats.org/spreadsheetml/2006/main" count="262" uniqueCount="122">
  <si>
    <t xml:space="preserve">ID</t>
  </si>
  <si>
    <t xml:space="preserve">花材名</t>
  </si>
  <si>
    <t xml:space="preserve">季節</t>
  </si>
  <si>
    <t xml:space="preserve">様式</t>
  </si>
  <si>
    <t xml:space="preserve">対応口径</t>
  </si>
  <si>
    <t xml:space="preserve">調達区分</t>
  </si>
  <si>
    <t xml:space="preserve">状態</t>
  </si>
  <si>
    <t xml:space="preserve">担当</t>
  </si>
  <si>
    <t xml:space="preserve">ライセンス確認(②のみ)</t>
  </si>
  <si>
    <t xml:space="preserve">考証チェック(③のみ)</t>
  </si>
  <si>
    <t xml:space="preserve">クレジット表記</t>
  </si>
  <si>
    <t xml:space="preserve">ファイル名</t>
  </si>
  <si>
    <t xml:space="preserve">備考</t>
  </si>
  <si>
    <t xml:space="preserve">F001</t>
  </si>
  <si>
    <t xml:space="preserve">梅（残春）</t>
  </si>
  <si>
    <t xml:space="preserve">春</t>
  </si>
  <si>
    <t xml:space="preserve">文人花・草</t>
  </si>
  <si>
    <t xml:space="preserve">narrow</t>
  </si>
  <si>
    <t xml:space="preserve">①</t>
  </si>
  <si>
    <t xml:space="preserve">未着手</t>
  </si>
  <si>
    <t xml:space="preserve">時期不可なら③で補完 ／ AI生成プロンプト作成済(参考用／AI生成花材_プロンプト集.md参照)</t>
  </si>
  <si>
    <t xml:space="preserve">F002</t>
  </si>
  <si>
    <t xml:space="preserve">海棠</t>
  </si>
  <si>
    <t xml:space="preserve">文人花・行</t>
  </si>
  <si>
    <t xml:space="preserve">narrow/medium</t>
  </si>
  <si>
    <t xml:space="preserve">F003</t>
  </si>
  <si>
    <t xml:space="preserve">蘭</t>
  </si>
  <si>
    <t xml:space="preserve">文人花</t>
  </si>
  <si>
    <t xml:space="preserve">AI生成プロンプト作成済(参考用／AI生成花材_プロンプト集.md参照)</t>
  </si>
  <si>
    <t xml:space="preserve">F004</t>
  </si>
  <si>
    <t xml:space="preserve">桃</t>
  </si>
  <si>
    <t xml:space="preserve">行・草</t>
  </si>
  <si>
    <t xml:space="preserve">②</t>
  </si>
  <si>
    <t xml:space="preserve">F005</t>
  </si>
  <si>
    <t xml:space="preserve">木蓮</t>
  </si>
  <si>
    <t xml:space="preserve">真・行</t>
  </si>
  <si>
    <t xml:space="preserve">medium</t>
  </si>
  <si>
    <t xml:space="preserve">F006</t>
  </si>
  <si>
    <t xml:space="preserve">山吹</t>
  </si>
  <si>
    <t xml:space="preserve">草</t>
  </si>
  <si>
    <t xml:space="preserve">F007</t>
  </si>
  <si>
    <t xml:space="preserve">盆梅</t>
  </si>
  <si>
    <t xml:space="preserve">盆栽</t>
  </si>
  <si>
    <t xml:space="preserve">盤・卓上</t>
  </si>
  <si>
    <t xml:space="preserve">①/②</t>
  </si>
  <si>
    <t xml:space="preserve">F008</t>
  </si>
  <si>
    <t xml:space="preserve">蓮（荷花）</t>
  </si>
  <si>
    <t xml:space="preserve">夏</t>
  </si>
  <si>
    <t xml:space="preserve">文人花・真</t>
  </si>
  <si>
    <t xml:space="preserve">medium/wide</t>
  </si>
  <si>
    <t xml:space="preserve">F009</t>
  </si>
  <si>
    <t xml:space="preserve">石榴花</t>
  </si>
  <si>
    <t xml:space="preserve">③</t>
  </si>
  <si>
    <t xml:space="preserve">依頼中</t>
  </si>
  <si>
    <r>
      <rPr>
        <sz val="10"/>
        <rFont val="BIZ UDPGothic"/>
        <family val="0"/>
        <charset val="1"/>
      </rPr>
      <t xml:space="preserve">AI</t>
    </r>
    <r>
      <rPr>
        <sz val="10"/>
        <rFont val="Noto Sans CJK SC"/>
        <family val="2"/>
      </rPr>
      <t xml:space="preserve">生成候補 ／ </t>
    </r>
    <r>
      <rPr>
        <sz val="10"/>
        <rFont val="BIZ UDPGothic"/>
        <family val="0"/>
        <charset val="1"/>
      </rPr>
      <t xml:space="preserve">AI</t>
    </r>
    <r>
      <rPr>
        <sz val="10"/>
        <rFont val="Noto Sans CJK SC"/>
        <family val="2"/>
      </rPr>
      <t xml:space="preserve">生成プロンプト作成済</t>
    </r>
    <r>
      <rPr>
        <sz val="10"/>
        <rFont val="BIZ UDPGothic"/>
        <family val="0"/>
        <charset val="1"/>
      </rPr>
      <t xml:space="preserve">(AI</t>
    </r>
    <r>
      <rPr>
        <sz val="10"/>
        <rFont val="Noto Sans CJK SC"/>
        <family val="2"/>
      </rPr>
      <t xml:space="preserve">生成花材</t>
    </r>
    <r>
      <rPr>
        <sz val="10"/>
        <rFont val="BIZ UDPGothic"/>
        <family val="0"/>
        <charset val="1"/>
      </rPr>
      <t xml:space="preserve">_</t>
    </r>
    <r>
      <rPr>
        <sz val="10"/>
        <rFont val="Noto Sans CJK SC"/>
        <family val="2"/>
      </rPr>
      <t xml:space="preserve">プロンプト集</t>
    </r>
    <r>
      <rPr>
        <sz val="10"/>
        <rFont val="BIZ UDPGothic"/>
        <family val="0"/>
        <charset val="1"/>
      </rPr>
      <t xml:space="preserve">.md</t>
    </r>
    <r>
      <rPr>
        <sz val="10"/>
        <rFont val="Noto Sans CJK SC"/>
        <family val="2"/>
      </rPr>
      <t xml:space="preserve">参照</t>
    </r>
    <r>
      <rPr>
        <sz val="10"/>
        <rFont val="BIZ UDPGothic"/>
        <family val="0"/>
        <charset val="1"/>
      </rPr>
      <t xml:space="preserve">)</t>
    </r>
  </si>
  <si>
    <t xml:space="preserve">F010</t>
  </si>
  <si>
    <t xml:space="preserve">梔子</t>
  </si>
  <si>
    <r>
      <rPr>
        <sz val="10"/>
        <rFont val="BIZ UDPGothic"/>
        <family val="0"/>
        <charset val="1"/>
      </rPr>
      <t xml:space="preserve">AI</t>
    </r>
    <r>
      <rPr>
        <sz val="10"/>
        <rFont val="Noto Sans CJK SC"/>
        <family val="2"/>
      </rPr>
      <t xml:space="preserve">生成プロンプト作成済</t>
    </r>
    <r>
      <rPr>
        <sz val="10"/>
        <rFont val="BIZ UDPGothic"/>
        <family val="0"/>
        <charset val="1"/>
      </rPr>
      <t xml:space="preserve">(</t>
    </r>
    <r>
      <rPr>
        <sz val="10"/>
        <rFont val="Noto Sans CJK SC"/>
        <family val="2"/>
      </rPr>
      <t xml:space="preserve">参考用／</t>
    </r>
    <r>
      <rPr>
        <sz val="10"/>
        <rFont val="BIZ UDPGothic"/>
        <family val="0"/>
        <charset val="1"/>
      </rPr>
      <t xml:space="preserve">AI</t>
    </r>
    <r>
      <rPr>
        <sz val="10"/>
        <rFont val="Noto Sans CJK SC"/>
        <family val="2"/>
      </rPr>
      <t xml:space="preserve">生成花材</t>
    </r>
    <r>
      <rPr>
        <sz val="10"/>
        <rFont val="BIZ UDPGothic"/>
        <family val="0"/>
        <charset val="1"/>
      </rPr>
      <t xml:space="preserve">_</t>
    </r>
    <r>
      <rPr>
        <sz val="10"/>
        <rFont val="Noto Sans CJK SC"/>
        <family val="2"/>
      </rPr>
      <t xml:space="preserve">プロンプト集</t>
    </r>
    <r>
      <rPr>
        <sz val="10"/>
        <rFont val="BIZ UDPGothic"/>
        <family val="0"/>
        <charset val="1"/>
      </rPr>
      <t xml:space="preserve">.md</t>
    </r>
    <r>
      <rPr>
        <sz val="10"/>
        <rFont val="Noto Sans CJK SC"/>
        <family val="2"/>
      </rPr>
      <t xml:space="preserve">参照</t>
    </r>
    <r>
      <rPr>
        <sz val="10"/>
        <rFont val="BIZ UDPGothic"/>
        <family val="0"/>
        <charset val="1"/>
      </rPr>
      <t xml:space="preserve">)</t>
    </r>
  </si>
  <si>
    <t xml:space="preserve">F011</t>
  </si>
  <si>
    <t xml:space="preserve">菖蒲</t>
  </si>
  <si>
    <t xml:space="preserve">F012</t>
  </si>
  <si>
    <t xml:space="preserve">芍薬</t>
  </si>
  <si>
    <t xml:space="preserve">行</t>
  </si>
  <si>
    <t xml:space="preserve">F013</t>
  </si>
  <si>
    <t xml:space="preserve">萱草</t>
  </si>
  <si>
    <t xml:space="preserve">F014</t>
  </si>
  <si>
    <t xml:space="preserve">枇杷の盛物</t>
  </si>
  <si>
    <t xml:space="preserve">盛物</t>
  </si>
  <si>
    <t xml:space="preserve">flat</t>
  </si>
  <si>
    <t xml:space="preserve">F015</t>
  </si>
  <si>
    <t xml:space="preserve">菊</t>
  </si>
  <si>
    <t xml:space="preserve">秋</t>
  </si>
  <si>
    <t xml:space="preserve">文人花・真・行・草</t>
  </si>
  <si>
    <t xml:space="preserve">①+②</t>
  </si>
  <si>
    <t xml:space="preserve">代表構成は①、一枝ものは② ／ AI生成プロンプト作成済(参考用／AI生成花材_プロンプト集.md参照)</t>
  </si>
  <si>
    <t xml:space="preserve">F016</t>
  </si>
  <si>
    <t xml:space="preserve">桂花</t>
  </si>
  <si>
    <t xml:space="preserve">F017</t>
  </si>
  <si>
    <t xml:space="preserve">紅葉一枝</t>
  </si>
  <si>
    <t xml:space="preserve">F018</t>
  </si>
  <si>
    <t xml:space="preserve">芙蓉</t>
  </si>
  <si>
    <t xml:space="preserve">F019</t>
  </si>
  <si>
    <t xml:space="preserve">竜胆</t>
  </si>
  <si>
    <t xml:space="preserve">F020</t>
  </si>
  <si>
    <t xml:space="preserve">葡萄・石榴の盛物</t>
  </si>
  <si>
    <t xml:space="preserve">F021</t>
  </si>
  <si>
    <t xml:space="preserve">蝋梅</t>
  </si>
  <si>
    <t xml:space="preserve">冬</t>
  </si>
  <si>
    <t xml:space="preserve">撮影可なら①に変更 ／ AI生成プロンプト作成済(AI生成花材_プロンプト集.md参照)</t>
  </si>
  <si>
    <t xml:space="preserve">F022</t>
  </si>
  <si>
    <t xml:space="preserve">水仙</t>
  </si>
  <si>
    <t xml:space="preserve">F023</t>
  </si>
  <si>
    <t xml:space="preserve">一枝の梅</t>
  </si>
  <si>
    <t xml:space="preserve">F024</t>
  </si>
  <si>
    <t xml:space="preserve">松竹梅</t>
  </si>
  <si>
    <t xml:space="preserve">真</t>
  </si>
  <si>
    <t xml:space="preserve">F025</t>
  </si>
  <si>
    <t xml:space="preserve">南天</t>
  </si>
  <si>
    <t xml:space="preserve">F026</t>
  </si>
  <si>
    <t xml:space="preserve">山茶</t>
  </si>
  <si>
    <t xml:space="preserve">F027</t>
  </si>
  <si>
    <t xml:space="preserve">水仙盆栽</t>
  </si>
  <si>
    <t xml:space="preserve">F028</t>
  </si>
  <si>
    <t xml:space="preserve">仏手柑の盛物</t>
  </si>
  <si>
    <t xml:space="preserve">F029</t>
  </si>
  <si>
    <t xml:space="preserve">牡丹</t>
  </si>
  <si>
    <t xml:space="preserve">追加項目(元28種リスト外) ／ AI生成プロンプト作成済(AI生成花材_プロンプト集.md参照)</t>
  </si>
  <si>
    <t xml:space="preserve">花材調達　進捗サマリー</t>
  </si>
  <si>
    <t xml:space="preserve">花材総数</t>
  </si>
  <si>
    <t xml:space="preserve">【調達区分別 内訳】</t>
  </si>
  <si>
    <t xml:space="preserve">① 華道家連携撮影（含む併用）</t>
  </si>
  <si>
    <t xml:space="preserve">② ストックフォト（含む併用）</t>
  </si>
  <si>
    <r>
      <rPr>
        <sz val="10"/>
        <rFont val="BIZ UDPGothic"/>
        <family val="0"/>
        <charset val="1"/>
      </rPr>
      <t xml:space="preserve">③ AI</t>
    </r>
    <r>
      <rPr>
        <sz val="10"/>
        <rFont val="Noto Sans CJK SC"/>
        <family val="2"/>
      </rPr>
      <t xml:space="preserve">生成（候補含む）</t>
    </r>
  </si>
  <si>
    <t xml:space="preserve">【状態別 内訳】</t>
  </si>
  <si>
    <t xml:space="preserve">撮影済</t>
  </si>
  <si>
    <t xml:space="preserve">切り抜き済</t>
  </si>
  <si>
    <t xml:space="preserve">考証チェック済</t>
  </si>
  <si>
    <t xml:space="preserve">納品済</t>
  </si>
  <si>
    <t xml:space="preserve">【進捗率】</t>
  </si>
  <si>
    <t xml:space="preserve">納品済 割合</t>
  </si>
  <si>
    <t xml:space="preserve">※ このシートの数値はすべて「花材調達一覧」シートの入力から自動計算されます。</t>
  </si>
  <si>
    <t xml:space="preserve">※ 状態列・確認列はプルダウンから選択してください（直接入力も可）。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</si>
</sst>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BIZ UDPGothic"/>
      <family val="0"/>
      <charset val="1"/>
    </font>
    <font>
      <b val="true"/>
      <sz val="11"/>
      <color rgb="FFFFFFFF"/>
      <name val="Noto Sans CJK SC"/>
      <family val="2"/>
      <charset val="1"/>
    </font>
    <font>
      <sz val="10"/>
      <name val="BIZ UDPGothic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4"/>
      <name val="Noto Sans CJK SC"/>
      <family val="2"/>
      <charset val="1"/>
    </font>
    <font>
      <b val="true"/>
      <sz val="11"/>
      <name val="Noto Sans CJK SC"/>
      <family val="2"/>
      <charset val="1"/>
    </font>
    <font>
      <sz val="10"/>
      <color rgb="FF777777"/>
      <name val="Noto Sans CJK SC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F6B5C"/>
        <bgColor rgb="FF777777"/>
      </patternFill>
    </fill>
    <fill>
      <patternFill patternType="solid">
        <fgColor rgb="FFE3EFE8"/>
        <bgColor rgb="FFF0F0D8"/>
      </patternFill>
    </fill>
    <fill>
      <patternFill patternType="solid">
        <fgColor rgb="FFEAE6F5"/>
        <bgColor rgb="FFE3EFE8"/>
      </patternFill>
    </fill>
    <fill>
      <patternFill patternType="solid">
        <fgColor rgb="FFF0F0D8"/>
        <bgColor rgb="FFF5E9DE"/>
      </patternFill>
    </fill>
    <fill>
      <patternFill patternType="solid">
        <fgColor rgb="FFF5E9DE"/>
        <bgColor rgb="FFF0F0D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77777"/>
      <rgbColor rgb="FF9999FF"/>
      <rgbColor rgb="FF993366"/>
      <rgbColor rgb="FFF0F0D8"/>
      <rgbColor rgb="FFE3EF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6F5"/>
      <rgbColor rgb="FFF5E9D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B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6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10" min="9" style="1" width="16"/>
    <col collapsed="false" customWidth="true" hidden="false" outlineLevel="0" max="11" min="11" style="1" width="18"/>
    <col collapsed="false" customWidth="true" hidden="false" outlineLevel="0" max="12" min="12" style="1" width="24"/>
    <col collapsed="false" customWidth="true" hidden="false" outlineLevel="0" max="13" min="13" style="1" width="22"/>
  </cols>
  <sheetData>
    <row r="1" customFormat="false" ht="31.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9.5" hidden="false" customHeight="true" outlineLevel="0" collapsed="false">
      <c r="A2" s="4" t="s">
        <v>13</v>
      </c>
      <c r="B2" s="5" t="s">
        <v>14</v>
      </c>
      <c r="C2" s="6" t="s">
        <v>15</v>
      </c>
      <c r="D2" s="5" t="s">
        <v>16</v>
      </c>
      <c r="E2" s="4" t="s">
        <v>17</v>
      </c>
      <c r="F2" s="7" t="s">
        <v>18</v>
      </c>
      <c r="G2" s="6" t="s">
        <v>19</v>
      </c>
      <c r="H2" s="5"/>
      <c r="I2" s="8"/>
      <c r="J2" s="8"/>
      <c r="K2" s="5"/>
      <c r="L2" s="5"/>
      <c r="M2" s="5" t="s">
        <v>20</v>
      </c>
    </row>
    <row r="3" customFormat="false" ht="19.5" hidden="false" customHeight="true" outlineLevel="0" collapsed="false">
      <c r="A3" s="4" t="s">
        <v>21</v>
      </c>
      <c r="B3" s="5" t="s">
        <v>22</v>
      </c>
      <c r="C3" s="6" t="s">
        <v>15</v>
      </c>
      <c r="D3" s="5" t="s">
        <v>23</v>
      </c>
      <c r="E3" s="4" t="s">
        <v>24</v>
      </c>
      <c r="F3" s="7" t="s">
        <v>18</v>
      </c>
      <c r="G3" s="6" t="s">
        <v>19</v>
      </c>
      <c r="H3" s="5"/>
      <c r="I3" s="8"/>
      <c r="J3" s="8"/>
      <c r="K3" s="5"/>
      <c r="L3" s="5"/>
      <c r="M3" s="5" t="s">
        <v>20</v>
      </c>
    </row>
    <row r="4" customFormat="false" ht="19.5" hidden="false" customHeight="true" outlineLevel="0" collapsed="false">
      <c r="A4" s="4" t="s">
        <v>25</v>
      </c>
      <c r="B4" s="5" t="s">
        <v>26</v>
      </c>
      <c r="C4" s="6" t="s">
        <v>15</v>
      </c>
      <c r="D4" s="5" t="s">
        <v>27</v>
      </c>
      <c r="E4" s="4" t="s">
        <v>17</v>
      </c>
      <c r="F4" s="7" t="s">
        <v>18</v>
      </c>
      <c r="G4" s="6" t="s">
        <v>19</v>
      </c>
      <c r="H4" s="5"/>
      <c r="I4" s="8"/>
      <c r="J4" s="8"/>
      <c r="K4" s="5"/>
      <c r="L4" s="5"/>
      <c r="M4" s="5" t="s">
        <v>28</v>
      </c>
    </row>
    <row r="5" customFormat="false" ht="19.5" hidden="false" customHeight="true" outlineLevel="0" collapsed="false">
      <c r="A5" s="4" t="s">
        <v>29</v>
      </c>
      <c r="B5" s="5" t="s">
        <v>30</v>
      </c>
      <c r="C5" s="6" t="s">
        <v>15</v>
      </c>
      <c r="D5" s="5" t="s">
        <v>31</v>
      </c>
      <c r="E5" s="4" t="s">
        <v>24</v>
      </c>
      <c r="F5" s="9" t="s">
        <v>32</v>
      </c>
      <c r="G5" s="6" t="s">
        <v>19</v>
      </c>
      <c r="H5" s="5"/>
      <c r="I5" s="8"/>
      <c r="J5" s="8"/>
      <c r="K5" s="5"/>
      <c r="L5" s="5"/>
      <c r="M5" s="5" t="s">
        <v>28</v>
      </c>
    </row>
    <row r="6" customFormat="false" ht="19.5" hidden="false" customHeight="true" outlineLevel="0" collapsed="false">
      <c r="A6" s="4" t="s">
        <v>33</v>
      </c>
      <c r="B6" s="5" t="s">
        <v>34</v>
      </c>
      <c r="C6" s="6" t="s">
        <v>15</v>
      </c>
      <c r="D6" s="5" t="s">
        <v>35</v>
      </c>
      <c r="E6" s="4" t="s">
        <v>36</v>
      </c>
      <c r="F6" s="9" t="s">
        <v>32</v>
      </c>
      <c r="G6" s="6" t="s">
        <v>19</v>
      </c>
      <c r="H6" s="5"/>
      <c r="I6" s="8"/>
      <c r="J6" s="8"/>
      <c r="K6" s="5"/>
      <c r="L6" s="5"/>
      <c r="M6" s="5" t="s">
        <v>28</v>
      </c>
    </row>
    <row r="7" customFormat="false" ht="19.5" hidden="false" customHeight="true" outlineLevel="0" collapsed="false">
      <c r="A7" s="4" t="s">
        <v>37</v>
      </c>
      <c r="B7" s="5" t="s">
        <v>38</v>
      </c>
      <c r="C7" s="6" t="s">
        <v>15</v>
      </c>
      <c r="D7" s="5" t="s">
        <v>39</v>
      </c>
      <c r="E7" s="4" t="s">
        <v>17</v>
      </c>
      <c r="F7" s="9" t="s">
        <v>32</v>
      </c>
      <c r="G7" s="6" t="s">
        <v>19</v>
      </c>
      <c r="H7" s="5"/>
      <c r="I7" s="8"/>
      <c r="J7" s="8"/>
      <c r="K7" s="5"/>
      <c r="L7" s="5"/>
      <c r="M7" s="5" t="s">
        <v>28</v>
      </c>
    </row>
    <row r="8" customFormat="false" ht="19.5" hidden="false" customHeight="true" outlineLevel="0" collapsed="false">
      <c r="A8" s="4" t="s">
        <v>40</v>
      </c>
      <c r="B8" s="5" t="s">
        <v>41</v>
      </c>
      <c r="C8" s="6" t="s">
        <v>15</v>
      </c>
      <c r="D8" s="5" t="s">
        <v>42</v>
      </c>
      <c r="E8" s="6" t="s">
        <v>43</v>
      </c>
      <c r="F8" s="10" t="s">
        <v>44</v>
      </c>
      <c r="G8" s="6" t="s">
        <v>19</v>
      </c>
      <c r="H8" s="5"/>
      <c r="I8" s="8"/>
      <c r="J8" s="8"/>
      <c r="K8" s="5"/>
      <c r="L8" s="5"/>
      <c r="M8" s="5" t="s">
        <v>28</v>
      </c>
    </row>
    <row r="9" customFormat="false" ht="19.5" hidden="false" customHeight="true" outlineLevel="0" collapsed="false">
      <c r="A9" s="4" t="s">
        <v>45</v>
      </c>
      <c r="B9" s="5" t="s">
        <v>46</v>
      </c>
      <c r="C9" s="6" t="s">
        <v>47</v>
      </c>
      <c r="D9" s="5" t="s">
        <v>48</v>
      </c>
      <c r="E9" s="4" t="s">
        <v>49</v>
      </c>
      <c r="F9" s="7" t="s">
        <v>18</v>
      </c>
      <c r="G9" s="6" t="s">
        <v>19</v>
      </c>
      <c r="H9" s="5"/>
      <c r="I9" s="8"/>
      <c r="J9" s="8"/>
      <c r="K9" s="5"/>
      <c r="L9" s="5"/>
      <c r="M9" s="5" t="s">
        <v>28</v>
      </c>
    </row>
    <row r="10" customFormat="false" ht="19.5" hidden="false" customHeight="true" outlineLevel="0" collapsed="false">
      <c r="A10" s="4" t="s">
        <v>50</v>
      </c>
      <c r="B10" s="5" t="s">
        <v>51</v>
      </c>
      <c r="C10" s="6" t="s">
        <v>47</v>
      </c>
      <c r="D10" s="5" t="s">
        <v>16</v>
      </c>
      <c r="E10" s="4" t="s">
        <v>17</v>
      </c>
      <c r="F10" s="11" t="s">
        <v>52</v>
      </c>
      <c r="G10" s="6" t="s">
        <v>53</v>
      </c>
      <c r="H10" s="5"/>
      <c r="I10" s="8"/>
      <c r="J10" s="8"/>
      <c r="K10" s="5"/>
      <c r="L10" s="5"/>
      <c r="M10" s="8" t="s">
        <v>54</v>
      </c>
    </row>
    <row r="11" customFormat="false" ht="19.5" hidden="false" customHeight="true" outlineLevel="0" collapsed="false">
      <c r="A11" s="4" t="s">
        <v>55</v>
      </c>
      <c r="B11" s="5" t="s">
        <v>56</v>
      </c>
      <c r="C11" s="6" t="s">
        <v>47</v>
      </c>
      <c r="D11" s="5" t="s">
        <v>27</v>
      </c>
      <c r="E11" s="4" t="s">
        <v>17</v>
      </c>
      <c r="F11" s="9" t="s">
        <v>32</v>
      </c>
      <c r="G11" s="6" t="s">
        <v>19</v>
      </c>
      <c r="H11" s="8"/>
      <c r="I11" s="8"/>
      <c r="J11" s="8"/>
      <c r="K11" s="8"/>
      <c r="L11" s="8"/>
      <c r="M11" s="8" t="s">
        <v>57</v>
      </c>
    </row>
    <row r="12" customFormat="false" ht="19.5" hidden="false" customHeight="true" outlineLevel="0" collapsed="false">
      <c r="A12" s="4" t="s">
        <v>58</v>
      </c>
      <c r="B12" s="5" t="s">
        <v>59</v>
      </c>
      <c r="C12" s="6" t="s">
        <v>47</v>
      </c>
      <c r="D12" s="5" t="s">
        <v>35</v>
      </c>
      <c r="E12" s="4" t="s">
        <v>36</v>
      </c>
      <c r="F12" s="9" t="s">
        <v>32</v>
      </c>
      <c r="G12" s="6" t="s">
        <v>19</v>
      </c>
      <c r="H12" s="8"/>
      <c r="I12" s="8"/>
      <c r="J12" s="8"/>
      <c r="K12" s="8"/>
      <c r="L12" s="8"/>
      <c r="M12" s="8" t="s">
        <v>57</v>
      </c>
    </row>
    <row r="13" customFormat="false" ht="19.5" hidden="false" customHeight="true" outlineLevel="0" collapsed="false">
      <c r="A13" s="4" t="s">
        <v>60</v>
      </c>
      <c r="B13" s="5" t="s">
        <v>61</v>
      </c>
      <c r="C13" s="6" t="s">
        <v>47</v>
      </c>
      <c r="D13" s="5" t="s">
        <v>62</v>
      </c>
      <c r="E13" s="4" t="s">
        <v>36</v>
      </c>
      <c r="F13" s="9" t="s">
        <v>32</v>
      </c>
      <c r="G13" s="6" t="s">
        <v>19</v>
      </c>
      <c r="H13" s="8"/>
      <c r="I13" s="8"/>
      <c r="J13" s="8"/>
      <c r="K13" s="8"/>
      <c r="L13" s="8"/>
      <c r="M13" s="8" t="s">
        <v>57</v>
      </c>
    </row>
    <row r="14" customFormat="false" ht="19.5" hidden="false" customHeight="true" outlineLevel="0" collapsed="false">
      <c r="A14" s="4" t="s">
        <v>63</v>
      </c>
      <c r="B14" s="5" t="s">
        <v>64</v>
      </c>
      <c r="C14" s="6" t="s">
        <v>47</v>
      </c>
      <c r="D14" s="5" t="s">
        <v>39</v>
      </c>
      <c r="E14" s="4" t="s">
        <v>17</v>
      </c>
      <c r="F14" s="9" t="s">
        <v>32</v>
      </c>
      <c r="G14" s="6" t="s">
        <v>19</v>
      </c>
      <c r="H14" s="8"/>
      <c r="I14" s="8"/>
      <c r="J14" s="8"/>
      <c r="K14" s="8"/>
      <c r="L14" s="8"/>
      <c r="M14" s="8" t="s">
        <v>57</v>
      </c>
    </row>
    <row r="15" customFormat="false" ht="19.5" hidden="false" customHeight="true" outlineLevel="0" collapsed="false">
      <c r="A15" s="4" t="s">
        <v>65</v>
      </c>
      <c r="B15" s="5" t="s">
        <v>66</v>
      </c>
      <c r="C15" s="6" t="s">
        <v>47</v>
      </c>
      <c r="D15" s="5" t="s">
        <v>67</v>
      </c>
      <c r="E15" s="4" t="s">
        <v>68</v>
      </c>
      <c r="F15" s="9" t="s">
        <v>32</v>
      </c>
      <c r="G15" s="6" t="s">
        <v>19</v>
      </c>
      <c r="H15" s="8"/>
      <c r="I15" s="8"/>
      <c r="J15" s="8"/>
      <c r="K15" s="8"/>
      <c r="L15" s="8"/>
      <c r="M15" s="8" t="s">
        <v>57</v>
      </c>
    </row>
    <row r="16" customFormat="false" ht="19.5" hidden="false" customHeight="true" outlineLevel="0" collapsed="false">
      <c r="A16" s="4" t="s">
        <v>69</v>
      </c>
      <c r="B16" s="5" t="s">
        <v>70</v>
      </c>
      <c r="C16" s="6" t="s">
        <v>71</v>
      </c>
      <c r="D16" s="5" t="s">
        <v>72</v>
      </c>
      <c r="E16" s="4" t="s">
        <v>24</v>
      </c>
      <c r="F16" s="10" t="s">
        <v>73</v>
      </c>
      <c r="G16" s="6" t="s">
        <v>19</v>
      </c>
      <c r="H16" s="8"/>
      <c r="I16" s="8"/>
      <c r="J16" s="8"/>
      <c r="K16" s="8"/>
      <c r="L16" s="8"/>
      <c r="M16" s="5" t="s">
        <v>74</v>
      </c>
    </row>
    <row r="17" customFormat="false" ht="19.5" hidden="false" customHeight="true" outlineLevel="0" collapsed="false">
      <c r="A17" s="4" t="s">
        <v>75</v>
      </c>
      <c r="B17" s="5" t="s">
        <v>76</v>
      </c>
      <c r="C17" s="6" t="s">
        <v>71</v>
      </c>
      <c r="D17" s="5" t="s">
        <v>27</v>
      </c>
      <c r="E17" s="4" t="s">
        <v>17</v>
      </c>
      <c r="F17" s="11" t="s">
        <v>52</v>
      </c>
      <c r="G17" s="6" t="s">
        <v>53</v>
      </c>
      <c r="H17" s="8"/>
      <c r="I17" s="8"/>
      <c r="J17" s="8"/>
      <c r="K17" s="8"/>
      <c r="L17" s="8"/>
      <c r="M17" s="8" t="s">
        <v>54</v>
      </c>
    </row>
    <row r="18" customFormat="false" ht="19.5" hidden="false" customHeight="true" outlineLevel="0" collapsed="false">
      <c r="A18" s="4" t="s">
        <v>77</v>
      </c>
      <c r="B18" s="5" t="s">
        <v>78</v>
      </c>
      <c r="C18" s="6" t="s">
        <v>71</v>
      </c>
      <c r="D18" s="5" t="s">
        <v>39</v>
      </c>
      <c r="E18" s="4" t="s">
        <v>17</v>
      </c>
      <c r="F18" s="9" t="s">
        <v>32</v>
      </c>
      <c r="G18" s="6" t="s">
        <v>19</v>
      </c>
      <c r="H18" s="8"/>
      <c r="I18" s="8"/>
      <c r="J18" s="8"/>
      <c r="K18" s="8"/>
      <c r="L18" s="8"/>
      <c r="M18" s="8" t="s">
        <v>57</v>
      </c>
    </row>
    <row r="19" customFormat="false" ht="19.5" hidden="false" customHeight="true" outlineLevel="0" collapsed="false">
      <c r="A19" s="4" t="s">
        <v>79</v>
      </c>
      <c r="B19" s="5" t="s">
        <v>80</v>
      </c>
      <c r="C19" s="6" t="s">
        <v>71</v>
      </c>
      <c r="D19" s="5" t="s">
        <v>62</v>
      </c>
      <c r="E19" s="4" t="s">
        <v>36</v>
      </c>
      <c r="F19" s="9" t="s">
        <v>32</v>
      </c>
      <c r="G19" s="6" t="s">
        <v>19</v>
      </c>
      <c r="H19" s="8"/>
      <c r="I19" s="8"/>
      <c r="J19" s="8"/>
      <c r="K19" s="8"/>
      <c r="L19" s="8"/>
      <c r="M19" s="8" t="s">
        <v>57</v>
      </c>
    </row>
    <row r="20" customFormat="false" ht="19.5" hidden="false" customHeight="true" outlineLevel="0" collapsed="false">
      <c r="A20" s="4" t="s">
        <v>81</v>
      </c>
      <c r="B20" s="5" t="s">
        <v>82</v>
      </c>
      <c r="C20" s="6" t="s">
        <v>71</v>
      </c>
      <c r="D20" s="5" t="s">
        <v>39</v>
      </c>
      <c r="E20" s="4" t="s">
        <v>17</v>
      </c>
      <c r="F20" s="9" t="s">
        <v>32</v>
      </c>
      <c r="G20" s="6" t="s">
        <v>19</v>
      </c>
      <c r="H20" s="8"/>
      <c r="I20" s="8"/>
      <c r="J20" s="8"/>
      <c r="K20" s="8"/>
      <c r="L20" s="8"/>
      <c r="M20" s="8" t="s">
        <v>57</v>
      </c>
    </row>
    <row r="21" customFormat="false" ht="19.5" hidden="false" customHeight="true" outlineLevel="0" collapsed="false">
      <c r="A21" s="4" t="s">
        <v>83</v>
      </c>
      <c r="B21" s="5" t="s">
        <v>84</v>
      </c>
      <c r="C21" s="6" t="s">
        <v>71</v>
      </c>
      <c r="D21" s="5" t="s">
        <v>67</v>
      </c>
      <c r="E21" s="4" t="s">
        <v>68</v>
      </c>
      <c r="F21" s="9" t="s">
        <v>32</v>
      </c>
      <c r="G21" s="6" t="s">
        <v>19</v>
      </c>
      <c r="H21" s="8"/>
      <c r="I21" s="8"/>
      <c r="J21" s="8"/>
      <c r="K21" s="8"/>
      <c r="L21" s="8"/>
      <c r="M21" s="8" t="s">
        <v>57</v>
      </c>
    </row>
    <row r="22" customFormat="false" ht="19.5" hidden="false" customHeight="true" outlineLevel="0" collapsed="false">
      <c r="A22" s="4" t="s">
        <v>85</v>
      </c>
      <c r="B22" s="5" t="s">
        <v>86</v>
      </c>
      <c r="C22" s="6" t="s">
        <v>87</v>
      </c>
      <c r="D22" s="5" t="s">
        <v>27</v>
      </c>
      <c r="E22" s="4" t="s">
        <v>17</v>
      </c>
      <c r="F22" s="11" t="s">
        <v>52</v>
      </c>
      <c r="G22" s="6" t="s">
        <v>53</v>
      </c>
      <c r="H22" s="8"/>
      <c r="I22" s="8"/>
      <c r="J22" s="8"/>
      <c r="K22" s="8"/>
      <c r="L22" s="8"/>
      <c r="M22" s="5" t="s">
        <v>88</v>
      </c>
    </row>
    <row r="23" customFormat="false" ht="19.5" hidden="false" customHeight="true" outlineLevel="0" collapsed="false">
      <c r="A23" s="4" t="s">
        <v>89</v>
      </c>
      <c r="B23" s="5" t="s">
        <v>90</v>
      </c>
      <c r="C23" s="6" t="s">
        <v>87</v>
      </c>
      <c r="D23" s="5" t="s">
        <v>16</v>
      </c>
      <c r="E23" s="4" t="s">
        <v>17</v>
      </c>
      <c r="F23" s="7" t="s">
        <v>18</v>
      </c>
      <c r="G23" s="6" t="s">
        <v>19</v>
      </c>
      <c r="H23" s="8"/>
      <c r="I23" s="8"/>
      <c r="J23" s="8"/>
      <c r="K23" s="8"/>
      <c r="L23" s="8"/>
      <c r="M23" s="8" t="s">
        <v>57</v>
      </c>
    </row>
    <row r="24" customFormat="false" ht="19.5" hidden="false" customHeight="true" outlineLevel="0" collapsed="false">
      <c r="A24" s="4" t="s">
        <v>91</v>
      </c>
      <c r="B24" s="5" t="s">
        <v>92</v>
      </c>
      <c r="C24" s="6" t="s">
        <v>87</v>
      </c>
      <c r="D24" s="5" t="s">
        <v>16</v>
      </c>
      <c r="E24" s="4" t="s">
        <v>17</v>
      </c>
      <c r="F24" s="7" t="s">
        <v>18</v>
      </c>
      <c r="G24" s="6" t="s">
        <v>19</v>
      </c>
      <c r="H24" s="8"/>
      <c r="I24" s="8"/>
      <c r="J24" s="8"/>
      <c r="K24" s="8"/>
      <c r="L24" s="8"/>
      <c r="M24" s="8" t="s">
        <v>57</v>
      </c>
    </row>
    <row r="25" customFormat="false" ht="19.5" hidden="false" customHeight="true" outlineLevel="0" collapsed="false">
      <c r="A25" s="4" t="s">
        <v>93</v>
      </c>
      <c r="B25" s="5" t="s">
        <v>94</v>
      </c>
      <c r="C25" s="6" t="s">
        <v>87</v>
      </c>
      <c r="D25" s="5" t="s">
        <v>95</v>
      </c>
      <c r="E25" s="4" t="s">
        <v>36</v>
      </c>
      <c r="F25" s="7" t="s">
        <v>18</v>
      </c>
      <c r="G25" s="6" t="s">
        <v>19</v>
      </c>
      <c r="H25" s="8"/>
      <c r="I25" s="8"/>
      <c r="J25" s="8"/>
      <c r="K25" s="8"/>
      <c r="L25" s="8"/>
      <c r="M25" s="8" t="s">
        <v>57</v>
      </c>
    </row>
    <row r="26" customFormat="false" ht="19.5" hidden="false" customHeight="true" outlineLevel="0" collapsed="false">
      <c r="A26" s="4" t="s">
        <v>96</v>
      </c>
      <c r="B26" s="5" t="s">
        <v>97</v>
      </c>
      <c r="C26" s="6" t="s">
        <v>87</v>
      </c>
      <c r="D26" s="5" t="s">
        <v>39</v>
      </c>
      <c r="E26" s="4" t="s">
        <v>17</v>
      </c>
      <c r="F26" s="9" t="s">
        <v>32</v>
      </c>
      <c r="G26" s="6" t="s">
        <v>19</v>
      </c>
      <c r="H26" s="8"/>
      <c r="I26" s="8"/>
      <c r="J26" s="8"/>
      <c r="K26" s="8"/>
      <c r="L26" s="8"/>
      <c r="M26" s="8" t="s">
        <v>57</v>
      </c>
    </row>
    <row r="27" customFormat="false" ht="19.5" hidden="false" customHeight="true" outlineLevel="0" collapsed="false">
      <c r="A27" s="4" t="s">
        <v>98</v>
      </c>
      <c r="B27" s="5" t="s">
        <v>99</v>
      </c>
      <c r="C27" s="6" t="s">
        <v>87</v>
      </c>
      <c r="D27" s="5" t="s">
        <v>31</v>
      </c>
      <c r="E27" s="4" t="s">
        <v>24</v>
      </c>
      <c r="F27" s="9" t="s">
        <v>32</v>
      </c>
      <c r="G27" s="6" t="s">
        <v>19</v>
      </c>
      <c r="H27" s="8"/>
      <c r="I27" s="8"/>
      <c r="J27" s="8"/>
      <c r="K27" s="8"/>
      <c r="L27" s="8"/>
      <c r="M27" s="8" t="s">
        <v>57</v>
      </c>
    </row>
    <row r="28" customFormat="false" ht="19.5" hidden="false" customHeight="true" outlineLevel="0" collapsed="false">
      <c r="A28" s="4" t="s">
        <v>100</v>
      </c>
      <c r="B28" s="5" t="s">
        <v>101</v>
      </c>
      <c r="C28" s="6" t="s">
        <v>87</v>
      </c>
      <c r="D28" s="5" t="s">
        <v>42</v>
      </c>
      <c r="E28" s="4" t="s">
        <v>68</v>
      </c>
      <c r="F28" s="10" t="s">
        <v>44</v>
      </c>
      <c r="G28" s="6" t="s">
        <v>19</v>
      </c>
      <c r="H28" s="8"/>
      <c r="I28" s="8"/>
      <c r="J28" s="8"/>
      <c r="K28" s="8"/>
      <c r="L28" s="8"/>
      <c r="M28" s="8" t="s">
        <v>57</v>
      </c>
    </row>
    <row r="29" customFormat="false" ht="19.5" hidden="false" customHeight="true" outlineLevel="0" collapsed="false">
      <c r="A29" s="4" t="s">
        <v>102</v>
      </c>
      <c r="B29" s="5" t="s">
        <v>103</v>
      </c>
      <c r="C29" s="6" t="s">
        <v>87</v>
      </c>
      <c r="D29" s="5" t="s">
        <v>67</v>
      </c>
      <c r="E29" s="4" t="s">
        <v>68</v>
      </c>
      <c r="F29" s="11" t="s">
        <v>52</v>
      </c>
      <c r="G29" s="6" t="s">
        <v>53</v>
      </c>
      <c r="H29" s="8"/>
      <c r="I29" s="8"/>
      <c r="J29" s="8"/>
      <c r="K29" s="8"/>
      <c r="L29" s="8"/>
      <c r="M29" s="8" t="s">
        <v>54</v>
      </c>
    </row>
    <row r="30" customFormat="false" ht="19.5" hidden="false" customHeight="true" outlineLevel="0" collapsed="false">
      <c r="A30" s="4" t="s">
        <v>104</v>
      </c>
      <c r="B30" s="5" t="s">
        <v>105</v>
      </c>
      <c r="C30" s="6" t="s">
        <v>15</v>
      </c>
      <c r="D30" s="5" t="s">
        <v>27</v>
      </c>
      <c r="E30" s="4" t="s">
        <v>36</v>
      </c>
      <c r="F30" s="11" t="s">
        <v>52</v>
      </c>
      <c r="G30" s="6" t="s">
        <v>53</v>
      </c>
      <c r="H30" s="8"/>
      <c r="I30" s="8"/>
      <c r="J30" s="8"/>
      <c r="K30" s="8"/>
      <c r="L30" s="8"/>
      <c r="M30" s="5" t="s">
        <v>106</v>
      </c>
    </row>
  </sheetData>
  <dataValidations count="2">
    <dataValidation allowBlank="true" errorStyle="stop" operator="between" showDropDown="false" showErrorMessage="false" showInputMessage="false" sqref="G2:G30" type="list">
      <formula1>"未着手,依頼中,撮影済,切り抜き済,考証チェック済,納品済"</formula1>
      <formula2>0</formula2>
    </dataValidation>
    <dataValidation allowBlank="true" errorStyle="stop" operator="between" showDropDown="false" showErrorMessage="false" showInputMessage="false" sqref="I2:J30" type="list">
      <formula1>"未確認,確認済,該当なし"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3" min="3" style="1" width="40"/>
  </cols>
  <sheetData>
    <row r="1" customFormat="false" ht="17.25" hidden="false" customHeight="true" outlineLevel="0" collapsed="false">
      <c r="A1" s="12" t="s">
        <v>107</v>
      </c>
      <c r="B1" s="12"/>
      <c r="C1" s="12"/>
    </row>
    <row r="3" customFormat="false" ht="15" hidden="false" customHeight="true" outlineLevel="0" collapsed="false">
      <c r="A3" s="13" t="s">
        <v>108</v>
      </c>
      <c r="B3" s="1" t="n">
        <v>29</v>
      </c>
    </row>
    <row r="5" customFormat="false" ht="15" hidden="false" customHeight="true" outlineLevel="0" collapsed="false">
      <c r="A5" s="13" t="s">
        <v>109</v>
      </c>
    </row>
    <row r="6" customFormat="false" ht="15" hidden="false" customHeight="true" outlineLevel="0" collapsed="false">
      <c r="A6" s="14" t="s">
        <v>110</v>
      </c>
      <c r="B6" s="15" t="n">
        <f aca="false">COUNTIF(花材調達一覧!F2:F30,"*①*")</f>
        <v>10</v>
      </c>
    </row>
    <row r="7" customFormat="false" ht="15" hidden="false" customHeight="true" outlineLevel="0" collapsed="false">
      <c r="A7" s="14" t="s">
        <v>111</v>
      </c>
      <c r="B7" s="15" t="n">
        <f aca="false">COUNTIF(花材調達一覧!F2:F30,"*②*")</f>
        <v>17</v>
      </c>
    </row>
    <row r="8" customFormat="false" ht="15" hidden="false" customHeight="true" outlineLevel="0" collapsed="false">
      <c r="A8" s="16" t="s">
        <v>112</v>
      </c>
      <c r="B8" s="15" t="n">
        <f aca="false">COUNTIF(花材調達一覧!F2:F30,"*③*")</f>
        <v>5</v>
      </c>
    </row>
    <row r="10" customFormat="false" ht="15" hidden="false" customHeight="true" outlineLevel="0" collapsed="false">
      <c r="A10" s="13" t="s">
        <v>113</v>
      </c>
    </row>
    <row r="11" customFormat="false" ht="15" hidden="false" customHeight="true" outlineLevel="0" collapsed="false">
      <c r="A11" s="14" t="s">
        <v>19</v>
      </c>
      <c r="B11" s="15" t="n">
        <f aca="false">COUNTIF(花材調達一覧!G2:G30,"未着手")</f>
        <v>24</v>
      </c>
    </row>
    <row r="12" customFormat="false" ht="15" hidden="false" customHeight="true" outlineLevel="0" collapsed="false">
      <c r="A12" s="14" t="s">
        <v>53</v>
      </c>
      <c r="B12" s="15" t="n">
        <f aca="false">COUNTIF(花材調達一覧!G2:G30,"依頼中")</f>
        <v>5</v>
      </c>
    </row>
    <row r="13" customFormat="false" ht="15" hidden="false" customHeight="true" outlineLevel="0" collapsed="false">
      <c r="A13" s="14" t="s">
        <v>114</v>
      </c>
      <c r="B13" s="15" t="n">
        <f aca="false">COUNTIF(花材調達一覧!G2:G30,"撮影済")</f>
        <v>0</v>
      </c>
    </row>
    <row r="14" customFormat="false" ht="15" hidden="false" customHeight="true" outlineLevel="0" collapsed="false">
      <c r="A14" s="14" t="s">
        <v>115</v>
      </c>
      <c r="B14" s="15" t="n">
        <f aca="false">COUNTIF(花材調達一覧!G2:G30,"切り抜き済")</f>
        <v>0</v>
      </c>
    </row>
    <row r="15" customFormat="false" ht="15" hidden="false" customHeight="true" outlineLevel="0" collapsed="false">
      <c r="A15" s="14" t="s">
        <v>116</v>
      </c>
      <c r="B15" s="15" t="n">
        <f aca="false">COUNTIF(花材調達一覧!G2:G30,"考証チェック済")</f>
        <v>0</v>
      </c>
    </row>
    <row r="16" customFormat="false" ht="15" hidden="false" customHeight="true" outlineLevel="0" collapsed="false">
      <c r="A16" s="14" t="s">
        <v>117</v>
      </c>
      <c r="B16" s="15" t="n">
        <f aca="false">COUNTIF(花材調達一覧!G2:G30,"納品済")</f>
        <v>0</v>
      </c>
    </row>
    <row r="18" customFormat="false" ht="15" hidden="false" customHeight="true" outlineLevel="0" collapsed="false">
      <c r="A18" s="13" t="s">
        <v>118</v>
      </c>
    </row>
    <row r="19" customFormat="false" ht="15" hidden="false" customHeight="true" outlineLevel="0" collapsed="false">
      <c r="A19" s="14" t="s">
        <v>119</v>
      </c>
      <c r="B19" s="17" t="n">
        <f aca="false">COUNTIF(花材調達一覧!G2:G30,"納品済")/29</f>
        <v>0</v>
      </c>
    </row>
    <row r="21" customFormat="false" ht="15" hidden="false" customHeight="true" outlineLevel="0" collapsed="false">
      <c r="A21" s="18" t="s">
        <v>120</v>
      </c>
      <c r="B21" s="18"/>
      <c r="C21" s="18"/>
    </row>
    <row r="22" customFormat="false" ht="15" hidden="false" customHeight="true" outlineLevel="0" collapsed="false">
      <c r="A22" s="18" t="s">
        <v>121</v>
      </c>
      <c r="B22" s="18"/>
      <c r="C22" s="18"/>
    </row>
  </sheetData>
  <mergeCells count="3">
    <mergeCell ref="A1:C1"/>
    <mergeCell ref="A21:C21"/>
    <mergeCell ref="A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2026-07-12T11:29:21Z</dcterms:created>
  <dc:creator>openpyxl</dc:creator>
  <dc:description/>
  <dc:language>en-US</dc:language>
  <cp:lastModifiedBy/>
  <dcterms:modified xsi:type="dcterms:W3CDTF">2026-07-12T12:16:33Z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